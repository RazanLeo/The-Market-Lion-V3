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azantaofek/Desktop/"/>
    </mc:Choice>
  </mc:AlternateContent>
  <xr:revisionPtr revIDLastSave="0" documentId="8_{F0BD74F8-F39E-5D4A-B99A-759E04423237}" xr6:coauthVersionLast="47" xr6:coauthVersionMax="47" xr10:uidLastSave="{00000000-0000-0000-0000-000000000000}"/>
  <bookViews>
    <workbookView xWindow="0" yWindow="500" windowWidth="28800" windowHeight="16860" tabRatio="500" activeTab="2" xr2:uid="{00000000-000D-0000-FFFF-FFFF00000000}"/>
  </bookViews>
  <sheets>
    <sheet name="1-خيارات المتداول" sheetId="1" r:id="rId1"/>
    <sheet name="2-التحليل الأساسي" sheetId="2" r:id="rId2"/>
    <sheet name="3-الأدوات الرئيسية" sheetId="3" r:id="rId3"/>
    <sheet name="4-المدارس الفنية" sheetId="4" r:id="rId4"/>
    <sheet name="5-المؤشرات الفنية" sheetId="5" r:id="rId5"/>
    <sheet name="6-تدفق الأوامر والبوك ماب" sheetId="6" r:id="rId6"/>
    <sheet name="7-القرارات النهائية" sheetId="7" r:id="rId7"/>
    <sheet name="8-خطة التداول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6" i="6" l="1"/>
  <c r="I56" i="6"/>
  <c r="H56" i="6"/>
  <c r="G56" i="6"/>
  <c r="F56" i="6"/>
  <c r="E56" i="6"/>
  <c r="J55" i="6"/>
  <c r="J57" i="6" s="1"/>
  <c r="I55" i="6"/>
  <c r="I57" i="6" s="1"/>
  <c r="H55" i="6"/>
  <c r="H57" i="6" s="1"/>
  <c r="G55" i="6"/>
  <c r="G57" i="6" s="1"/>
  <c r="F55" i="6"/>
  <c r="F57" i="6" s="1"/>
  <c r="E55" i="6"/>
  <c r="E57" i="6" s="1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J66" i="5"/>
  <c r="J65" i="5"/>
  <c r="I65" i="5"/>
  <c r="H65" i="5"/>
  <c r="G65" i="5"/>
  <c r="F65" i="5"/>
  <c r="E65" i="5"/>
  <c r="J64" i="5"/>
  <c r="I64" i="5"/>
  <c r="I66" i="5" s="1"/>
  <c r="H64" i="5"/>
  <c r="H66" i="5" s="1"/>
  <c r="G64" i="5"/>
  <c r="G66" i="5" s="1"/>
  <c r="F64" i="5"/>
  <c r="F66" i="5" s="1"/>
  <c r="E64" i="5"/>
  <c r="E66" i="5" s="1"/>
  <c r="O61" i="5"/>
  <c r="L61" i="5"/>
  <c r="N61" i="5" s="1"/>
  <c r="K61" i="5"/>
  <c r="O60" i="5"/>
  <c r="L60" i="5"/>
  <c r="N60" i="5" s="1"/>
  <c r="K60" i="5"/>
  <c r="O59" i="5"/>
  <c r="L59" i="5"/>
  <c r="N59" i="5" s="1"/>
  <c r="K59" i="5"/>
  <c r="O58" i="5"/>
  <c r="L58" i="5"/>
  <c r="N58" i="5" s="1"/>
  <c r="K58" i="5"/>
  <c r="O57" i="5"/>
  <c r="L57" i="5"/>
  <c r="N57" i="5" s="1"/>
  <c r="K57" i="5"/>
  <c r="O56" i="5"/>
  <c r="L56" i="5"/>
  <c r="N56" i="5" s="1"/>
  <c r="K56" i="5"/>
  <c r="O55" i="5"/>
  <c r="L55" i="5"/>
  <c r="N55" i="5" s="1"/>
  <c r="K55" i="5"/>
  <c r="O54" i="5"/>
  <c r="L54" i="5"/>
  <c r="N54" i="5" s="1"/>
  <c r="K54" i="5"/>
  <c r="O53" i="5"/>
  <c r="L53" i="5"/>
  <c r="N53" i="5" s="1"/>
  <c r="K53" i="5"/>
  <c r="O52" i="5"/>
  <c r="L52" i="5"/>
  <c r="N52" i="5" s="1"/>
  <c r="K52" i="5"/>
  <c r="O51" i="5"/>
  <c r="L51" i="5"/>
  <c r="N51" i="5" s="1"/>
  <c r="K51" i="5"/>
  <c r="O50" i="5"/>
  <c r="L50" i="5"/>
  <c r="N50" i="5" s="1"/>
  <c r="K50" i="5"/>
  <c r="O49" i="5"/>
  <c r="L49" i="5"/>
  <c r="N49" i="5" s="1"/>
  <c r="K49" i="5"/>
  <c r="O48" i="5"/>
  <c r="L48" i="5"/>
  <c r="N48" i="5" s="1"/>
  <c r="K48" i="5"/>
  <c r="O47" i="5"/>
  <c r="L47" i="5"/>
  <c r="N47" i="5" s="1"/>
  <c r="K47" i="5"/>
  <c r="O46" i="5"/>
  <c r="L46" i="5"/>
  <c r="N46" i="5" s="1"/>
  <c r="K46" i="5"/>
  <c r="O45" i="5"/>
  <c r="L45" i="5"/>
  <c r="N45" i="5" s="1"/>
  <c r="K45" i="5"/>
  <c r="O44" i="5"/>
  <c r="L44" i="5"/>
  <c r="N44" i="5" s="1"/>
  <c r="K44" i="5"/>
  <c r="O43" i="5"/>
  <c r="L43" i="5"/>
  <c r="N43" i="5" s="1"/>
  <c r="K43" i="5"/>
  <c r="O42" i="5"/>
  <c r="L42" i="5"/>
  <c r="N42" i="5" s="1"/>
  <c r="K42" i="5"/>
  <c r="O41" i="5"/>
  <c r="L41" i="5"/>
  <c r="N41" i="5" s="1"/>
  <c r="K41" i="5"/>
  <c r="O40" i="5"/>
  <c r="L40" i="5"/>
  <c r="N40" i="5" s="1"/>
  <c r="K40" i="5"/>
  <c r="O39" i="5"/>
  <c r="L39" i="5"/>
  <c r="N39" i="5" s="1"/>
  <c r="K39" i="5"/>
  <c r="O38" i="5"/>
  <c r="L38" i="5"/>
  <c r="N38" i="5" s="1"/>
  <c r="K38" i="5"/>
  <c r="O37" i="5"/>
  <c r="L37" i="5"/>
  <c r="N37" i="5" s="1"/>
  <c r="K37" i="5"/>
  <c r="O36" i="5"/>
  <c r="L36" i="5"/>
  <c r="N36" i="5" s="1"/>
  <c r="K36" i="5"/>
  <c r="O35" i="5"/>
  <c r="L35" i="5"/>
  <c r="N35" i="5" s="1"/>
  <c r="K35" i="5"/>
  <c r="O34" i="5"/>
  <c r="L34" i="5"/>
  <c r="N34" i="5" s="1"/>
  <c r="K34" i="5"/>
  <c r="O33" i="5"/>
  <c r="L33" i="5"/>
  <c r="N33" i="5" s="1"/>
  <c r="K33" i="5"/>
  <c r="O32" i="5"/>
  <c r="L32" i="5"/>
  <c r="N32" i="5" s="1"/>
  <c r="K32" i="5"/>
  <c r="O31" i="5"/>
  <c r="L31" i="5"/>
  <c r="N31" i="5" s="1"/>
  <c r="K31" i="5"/>
  <c r="O30" i="5"/>
  <c r="L30" i="5"/>
  <c r="N30" i="5" s="1"/>
  <c r="K30" i="5"/>
  <c r="O29" i="5"/>
  <c r="L29" i="5"/>
  <c r="N29" i="5" s="1"/>
  <c r="K29" i="5"/>
  <c r="O28" i="5"/>
  <c r="L28" i="5"/>
  <c r="N28" i="5" s="1"/>
  <c r="K28" i="5"/>
  <c r="O27" i="5"/>
  <c r="L27" i="5"/>
  <c r="N27" i="5" s="1"/>
  <c r="K27" i="5"/>
  <c r="O26" i="5"/>
  <c r="L26" i="5"/>
  <c r="N26" i="5" s="1"/>
  <c r="K26" i="5"/>
  <c r="O25" i="5"/>
  <c r="L25" i="5"/>
  <c r="N25" i="5" s="1"/>
  <c r="K25" i="5"/>
  <c r="O24" i="5"/>
  <c r="N24" i="5"/>
  <c r="L24" i="5"/>
  <c r="K24" i="5"/>
  <c r="O23" i="5"/>
  <c r="L23" i="5"/>
  <c r="N23" i="5" s="1"/>
  <c r="K23" i="5"/>
  <c r="O22" i="5"/>
  <c r="L22" i="5"/>
  <c r="N22" i="5" s="1"/>
  <c r="K22" i="5"/>
  <c r="O21" i="5"/>
  <c r="L21" i="5"/>
  <c r="N21" i="5" s="1"/>
  <c r="K21" i="5"/>
  <c r="O20" i="5"/>
  <c r="L20" i="5"/>
  <c r="N20" i="5" s="1"/>
  <c r="K20" i="5"/>
  <c r="O19" i="5"/>
  <c r="L19" i="5"/>
  <c r="N19" i="5" s="1"/>
  <c r="K19" i="5"/>
  <c r="O18" i="5"/>
  <c r="L18" i="5"/>
  <c r="N18" i="5" s="1"/>
  <c r="K18" i="5"/>
  <c r="O17" i="5"/>
  <c r="L17" i="5"/>
  <c r="N17" i="5" s="1"/>
  <c r="K17" i="5"/>
  <c r="O16" i="5"/>
  <c r="L16" i="5"/>
  <c r="N16" i="5" s="1"/>
  <c r="K16" i="5"/>
  <c r="O15" i="5"/>
  <c r="L15" i="5"/>
  <c r="N15" i="5" s="1"/>
  <c r="K15" i="5"/>
  <c r="O14" i="5"/>
  <c r="L14" i="5"/>
  <c r="N14" i="5" s="1"/>
  <c r="K14" i="5"/>
  <c r="O13" i="5"/>
  <c r="L13" i="5"/>
  <c r="N13" i="5" s="1"/>
  <c r="K13" i="5"/>
  <c r="O12" i="5"/>
  <c r="L12" i="5"/>
  <c r="N12" i="5" s="1"/>
  <c r="K12" i="5"/>
  <c r="O11" i="5"/>
  <c r="L11" i="5"/>
  <c r="N11" i="5" s="1"/>
  <c r="K11" i="5"/>
  <c r="O10" i="5"/>
  <c r="L10" i="5"/>
  <c r="N10" i="5" s="1"/>
  <c r="K10" i="5"/>
  <c r="O9" i="5"/>
  <c r="L9" i="5"/>
  <c r="N9" i="5" s="1"/>
  <c r="K9" i="5"/>
  <c r="O8" i="5"/>
  <c r="L8" i="5"/>
  <c r="N8" i="5" s="1"/>
  <c r="K8" i="5"/>
  <c r="J35" i="3"/>
  <c r="I35" i="3"/>
  <c r="H35" i="3"/>
  <c r="J34" i="3"/>
  <c r="I34" i="3"/>
  <c r="H34" i="3"/>
  <c r="G34" i="3"/>
  <c r="F34" i="3"/>
  <c r="E34" i="3"/>
  <c r="J33" i="3"/>
  <c r="I33" i="3"/>
  <c r="H33" i="3"/>
  <c r="G33" i="3"/>
  <c r="G35" i="3" s="1"/>
  <c r="F33" i="3"/>
  <c r="F35" i="3" s="1"/>
  <c r="E33" i="3"/>
  <c r="E35" i="3" s="1"/>
  <c r="O30" i="3"/>
  <c r="L30" i="3"/>
  <c r="N30" i="3" s="1"/>
  <c r="K30" i="3"/>
  <c r="O29" i="3"/>
  <c r="L29" i="3"/>
  <c r="N29" i="3" s="1"/>
  <c r="K29" i="3"/>
  <c r="O28" i="3"/>
  <c r="L28" i="3"/>
  <c r="N28" i="3" s="1"/>
  <c r="K28" i="3"/>
  <c r="O27" i="3"/>
  <c r="L27" i="3"/>
  <c r="N27" i="3" s="1"/>
  <c r="K27" i="3"/>
  <c r="O26" i="3"/>
  <c r="L26" i="3"/>
  <c r="N26" i="3" s="1"/>
  <c r="K26" i="3"/>
  <c r="O25" i="3"/>
  <c r="L25" i="3"/>
  <c r="N25" i="3" s="1"/>
  <c r="K25" i="3"/>
  <c r="O24" i="3"/>
  <c r="L24" i="3"/>
  <c r="N24" i="3" s="1"/>
  <c r="K24" i="3"/>
  <c r="O23" i="3"/>
  <c r="L23" i="3"/>
  <c r="N23" i="3" s="1"/>
  <c r="K23" i="3"/>
  <c r="O22" i="3"/>
  <c r="L22" i="3"/>
  <c r="N22" i="3" s="1"/>
  <c r="K22" i="3"/>
  <c r="O21" i="3"/>
  <c r="L21" i="3"/>
  <c r="N21" i="3" s="1"/>
  <c r="K21" i="3"/>
  <c r="O20" i="3"/>
  <c r="L20" i="3"/>
  <c r="N20" i="3" s="1"/>
  <c r="K20" i="3"/>
  <c r="O19" i="3"/>
  <c r="L19" i="3"/>
  <c r="N19" i="3" s="1"/>
  <c r="K19" i="3"/>
  <c r="O18" i="3"/>
  <c r="L18" i="3"/>
  <c r="N18" i="3" s="1"/>
  <c r="K18" i="3"/>
  <c r="O17" i="3"/>
  <c r="L17" i="3"/>
  <c r="N17" i="3" s="1"/>
  <c r="K17" i="3"/>
  <c r="O16" i="3"/>
  <c r="L16" i="3"/>
  <c r="N16" i="3" s="1"/>
  <c r="K16" i="3"/>
  <c r="O15" i="3"/>
  <c r="L15" i="3"/>
  <c r="N15" i="3" s="1"/>
  <c r="K15" i="3"/>
  <c r="O14" i="3"/>
  <c r="L14" i="3"/>
  <c r="N14" i="3" s="1"/>
  <c r="K14" i="3"/>
  <c r="O13" i="3"/>
  <c r="L13" i="3"/>
  <c r="N13" i="3" s="1"/>
  <c r="K13" i="3"/>
  <c r="O12" i="3"/>
  <c r="L12" i="3"/>
  <c r="N12" i="3" s="1"/>
  <c r="K12" i="3"/>
  <c r="O11" i="3"/>
  <c r="L11" i="3"/>
  <c r="N11" i="3" s="1"/>
  <c r="K11" i="3"/>
  <c r="O10" i="3"/>
  <c r="L10" i="3"/>
  <c r="N10" i="3" s="1"/>
  <c r="K10" i="3"/>
  <c r="O9" i="3"/>
  <c r="L9" i="3"/>
  <c r="N9" i="3" s="1"/>
  <c r="K9" i="3"/>
  <c r="O8" i="3"/>
  <c r="L8" i="3"/>
  <c r="N8" i="3" s="1"/>
  <c r="K8" i="3"/>
  <c r="J59" i="4"/>
  <c r="I59" i="4"/>
  <c r="H59" i="4"/>
  <c r="G59" i="4"/>
  <c r="F59" i="4"/>
  <c r="E59" i="4"/>
  <c r="J58" i="4"/>
  <c r="J60" i="4" s="1"/>
  <c r="I58" i="4"/>
  <c r="I60" i="4" s="1"/>
  <c r="H58" i="4"/>
  <c r="H60" i="4" s="1"/>
  <c r="G58" i="4"/>
  <c r="G60" i="4" s="1"/>
  <c r="F58" i="4"/>
  <c r="F60" i="4" s="1"/>
  <c r="E58" i="4"/>
  <c r="E60" i="4" s="1"/>
  <c r="O55" i="4"/>
  <c r="L55" i="4"/>
  <c r="N55" i="4" s="1"/>
  <c r="K55" i="4"/>
  <c r="O54" i="4"/>
  <c r="L54" i="4"/>
  <c r="N54" i="4" s="1"/>
  <c r="K54" i="4"/>
  <c r="O53" i="4"/>
  <c r="L53" i="4"/>
  <c r="N53" i="4" s="1"/>
  <c r="K53" i="4"/>
  <c r="O52" i="4"/>
  <c r="L52" i="4"/>
  <c r="N52" i="4" s="1"/>
  <c r="K52" i="4"/>
  <c r="O51" i="4"/>
  <c r="L51" i="4"/>
  <c r="N51" i="4" s="1"/>
  <c r="K51" i="4"/>
  <c r="O50" i="4"/>
  <c r="L50" i="4"/>
  <c r="N50" i="4" s="1"/>
  <c r="K50" i="4"/>
  <c r="O49" i="4"/>
  <c r="L49" i="4"/>
  <c r="N49" i="4" s="1"/>
  <c r="K49" i="4"/>
  <c r="O48" i="4"/>
  <c r="L48" i="4"/>
  <c r="N48" i="4" s="1"/>
  <c r="K48" i="4"/>
  <c r="O47" i="4"/>
  <c r="L47" i="4"/>
  <c r="N47" i="4" s="1"/>
  <c r="K47" i="4"/>
  <c r="O46" i="4"/>
  <c r="L46" i="4"/>
  <c r="N46" i="4" s="1"/>
  <c r="K46" i="4"/>
  <c r="O45" i="4"/>
  <c r="L45" i="4"/>
  <c r="N45" i="4" s="1"/>
  <c r="K45" i="4"/>
  <c r="O44" i="4"/>
  <c r="L44" i="4"/>
  <c r="N44" i="4" s="1"/>
  <c r="K44" i="4"/>
  <c r="O43" i="4"/>
  <c r="L43" i="4"/>
  <c r="N43" i="4" s="1"/>
  <c r="K43" i="4"/>
  <c r="O42" i="4"/>
  <c r="L42" i="4"/>
  <c r="N42" i="4" s="1"/>
  <c r="K42" i="4"/>
  <c r="O41" i="4"/>
  <c r="L41" i="4"/>
  <c r="N41" i="4" s="1"/>
  <c r="K41" i="4"/>
  <c r="O40" i="4"/>
  <c r="L40" i="4"/>
  <c r="N40" i="4" s="1"/>
  <c r="K40" i="4"/>
  <c r="O39" i="4"/>
  <c r="L39" i="4"/>
  <c r="N39" i="4" s="1"/>
  <c r="K39" i="4"/>
  <c r="O38" i="4"/>
  <c r="L38" i="4"/>
  <c r="N38" i="4" s="1"/>
  <c r="K38" i="4"/>
  <c r="O37" i="4"/>
  <c r="L37" i="4"/>
  <c r="N37" i="4" s="1"/>
  <c r="K37" i="4"/>
  <c r="O36" i="4"/>
  <c r="L36" i="4"/>
  <c r="N36" i="4" s="1"/>
  <c r="K36" i="4"/>
  <c r="O35" i="4"/>
  <c r="L35" i="4"/>
  <c r="N35" i="4" s="1"/>
  <c r="K35" i="4"/>
  <c r="O34" i="4"/>
  <c r="L34" i="4"/>
  <c r="N34" i="4" s="1"/>
  <c r="K34" i="4"/>
  <c r="O33" i="4"/>
  <c r="L33" i="4"/>
  <c r="N33" i="4" s="1"/>
  <c r="K33" i="4"/>
  <c r="O32" i="4"/>
  <c r="L32" i="4"/>
  <c r="N32" i="4" s="1"/>
  <c r="K32" i="4"/>
  <c r="O31" i="4"/>
  <c r="L31" i="4"/>
  <c r="N31" i="4" s="1"/>
  <c r="K31" i="4"/>
  <c r="O30" i="4"/>
  <c r="L30" i="4"/>
  <c r="N30" i="4" s="1"/>
  <c r="K30" i="4"/>
  <c r="O29" i="4"/>
  <c r="L29" i="4"/>
  <c r="N29" i="4" s="1"/>
  <c r="K29" i="4"/>
  <c r="O28" i="4"/>
  <c r="L28" i="4"/>
  <c r="N28" i="4" s="1"/>
  <c r="K28" i="4"/>
  <c r="O27" i="4"/>
  <c r="L27" i="4"/>
  <c r="N27" i="4" s="1"/>
  <c r="K27" i="4"/>
  <c r="O26" i="4"/>
  <c r="L26" i="4"/>
  <c r="N26" i="4" s="1"/>
  <c r="K26" i="4"/>
  <c r="O25" i="4"/>
  <c r="L25" i="4"/>
  <c r="N25" i="4" s="1"/>
  <c r="K25" i="4"/>
  <c r="O24" i="4"/>
  <c r="L24" i="4"/>
  <c r="N24" i="4" s="1"/>
  <c r="K24" i="4"/>
  <c r="O23" i="4"/>
  <c r="L23" i="4"/>
  <c r="N23" i="4" s="1"/>
  <c r="K23" i="4"/>
  <c r="O22" i="4"/>
  <c r="L22" i="4"/>
  <c r="N22" i="4" s="1"/>
  <c r="K22" i="4"/>
  <c r="O21" i="4"/>
  <c r="L21" i="4"/>
  <c r="N21" i="4" s="1"/>
  <c r="K21" i="4"/>
  <c r="O20" i="4"/>
  <c r="L20" i="4"/>
  <c r="N20" i="4" s="1"/>
  <c r="K20" i="4"/>
  <c r="O19" i="4"/>
  <c r="L19" i="4"/>
  <c r="N19" i="4" s="1"/>
  <c r="K19" i="4"/>
  <c r="O18" i="4"/>
  <c r="L18" i="4"/>
  <c r="N18" i="4" s="1"/>
  <c r="K18" i="4"/>
  <c r="O17" i="4"/>
  <c r="L17" i="4"/>
  <c r="N17" i="4" s="1"/>
  <c r="K17" i="4"/>
  <c r="O16" i="4"/>
  <c r="L16" i="4"/>
  <c r="N16" i="4" s="1"/>
  <c r="K16" i="4"/>
  <c r="O15" i="4"/>
  <c r="L15" i="4"/>
  <c r="N15" i="4" s="1"/>
  <c r="K15" i="4"/>
  <c r="O14" i="4"/>
  <c r="L14" i="4"/>
  <c r="N14" i="4" s="1"/>
  <c r="K14" i="4"/>
  <c r="O13" i="4"/>
  <c r="L13" i="4"/>
  <c r="N13" i="4" s="1"/>
  <c r="K13" i="4"/>
  <c r="O12" i="4"/>
  <c r="L12" i="4"/>
  <c r="N12" i="4" s="1"/>
  <c r="K12" i="4"/>
  <c r="O11" i="4"/>
  <c r="L11" i="4"/>
  <c r="N11" i="4" s="1"/>
  <c r="K11" i="4"/>
  <c r="O10" i="4"/>
  <c r="L10" i="4"/>
  <c r="N10" i="4" s="1"/>
  <c r="K10" i="4"/>
  <c r="O9" i="4"/>
  <c r="L9" i="4"/>
  <c r="N9" i="4" s="1"/>
  <c r="K9" i="4"/>
  <c r="O8" i="4"/>
  <c r="L8" i="4"/>
  <c r="N8" i="4" s="1"/>
  <c r="K8" i="4"/>
  <c r="J58" i="6" l="1"/>
  <c r="J59" i="6"/>
  <c r="I58" i="6"/>
  <c r="I59" i="6"/>
  <c r="H58" i="6"/>
  <c r="H59" i="6"/>
  <c r="G58" i="6"/>
  <c r="G59" i="6"/>
  <c r="F58" i="6"/>
  <c r="F59" i="6"/>
  <c r="E58" i="6"/>
  <c r="E59" i="6"/>
  <c r="O51" i="6"/>
  <c r="N51" i="6"/>
  <c r="O50" i="6"/>
  <c r="N50" i="6"/>
  <c r="O49" i="6"/>
  <c r="N49" i="6"/>
  <c r="O48" i="6"/>
  <c r="N48" i="6"/>
  <c r="N47" i="6"/>
  <c r="O47" i="6"/>
  <c r="O46" i="6"/>
  <c r="N46" i="6"/>
  <c r="O45" i="6"/>
  <c r="N45" i="6"/>
  <c r="O44" i="6"/>
  <c r="N44" i="6"/>
  <c r="O43" i="6"/>
  <c r="N43" i="6"/>
  <c r="O42" i="6"/>
  <c r="N42" i="6"/>
  <c r="J68" i="5"/>
  <c r="J67" i="5"/>
  <c r="I67" i="5"/>
  <c r="I68" i="5"/>
  <c r="H67" i="5"/>
  <c r="H68" i="5"/>
  <c r="G67" i="5"/>
  <c r="F3" i="5" s="1"/>
  <c r="G68" i="5"/>
  <c r="I3" i="5" s="1"/>
  <c r="L3" i="5"/>
  <c r="F67" i="5"/>
  <c r="F68" i="5"/>
  <c r="E67" i="5"/>
  <c r="E68" i="5"/>
  <c r="J37" i="3"/>
  <c r="J36" i="3"/>
  <c r="I36" i="3"/>
  <c r="I37" i="3"/>
  <c r="H37" i="3"/>
  <c r="H36" i="3"/>
  <c r="G36" i="3"/>
  <c r="F3" i="3" s="1"/>
  <c r="G37" i="3"/>
  <c r="I3" i="3" s="1"/>
  <c r="L3" i="3"/>
  <c r="F36" i="3"/>
  <c r="F37" i="3"/>
  <c r="E36" i="3"/>
  <c r="E37" i="3"/>
  <c r="J61" i="4"/>
  <c r="J62" i="4"/>
  <c r="I61" i="4"/>
  <c r="I62" i="4"/>
  <c r="H61" i="4"/>
  <c r="H62" i="4"/>
  <c r="G61" i="4"/>
  <c r="F3" i="4" s="1"/>
  <c r="G62" i="4"/>
  <c r="I3" i="4" s="1"/>
  <c r="L3" i="4"/>
  <c r="F61" i="4"/>
  <c r="F62" i="4"/>
  <c r="E61" i="4"/>
  <c r="E62" i="4"/>
</calcChain>
</file>

<file path=xl/sharedStrings.xml><?xml version="1.0" encoding="utf-8"?>
<sst xmlns="http://schemas.openxmlformats.org/spreadsheetml/2006/main" count="3284" uniqueCount="942">
  <si>
    <t>🦁  أسد السوق — The Market Lion  🦁</t>
  </si>
  <si>
    <t>روبوت ومؤشر رزان للتداول بالذكاء الاصطناعي  •  Razan AI Trading Bot &amp; Indicator</t>
  </si>
  <si>
    <t>🎯  جدول ١ — خيارات المتداول / المستخدم للمنصة</t>
  </si>
  <si>
    <t>كل ما يحدده المتداول قبل تشغيل البوت — هذا الجدول يتفاعل مع باقي الجداول لحظيًا</t>
  </si>
  <si>
    <t>#</t>
  </si>
  <si>
    <t>الخيار</t>
  </si>
  <si>
    <t>الشرح</t>
  </si>
  <si>
    <t>القيمة المختارة</t>
  </si>
  <si>
    <t>الأصل المطلوب تداوله</t>
  </si>
  <si>
    <t>قائمة منسدلة: الذهب والدولار (XAU/USD) — النفط والدولار (XTI/USD) — أزواج الفوركس الرئيسية السبعة (EUR/USD, GBP/USD, USD/JPY, USD/CHF, USD/CAD, AUD/USD, NZD/USD)</t>
  </si>
  <si>
    <t>XAU/USD</t>
  </si>
  <si>
    <t>نسبة المخاطرة</t>
  </si>
  <si>
    <t>قائمة منسدلة: من ١٪ إلى ١٠٪ من رأس المال</t>
  </si>
  <si>
    <t>2%</t>
  </si>
  <si>
    <t>مبلغ المخاطرة</t>
  </si>
  <si>
    <t>يُحسب تلقائيًا عند تحديد نسبة المخاطرة ورأس المال — لا يُدخل يدويًا</t>
  </si>
  <si>
    <t>تلقائي</t>
  </si>
  <si>
    <t>الإطار الزمني للمضاربة</t>
  </si>
  <si>
    <t>قائمة منسدلة: 1M، 5M، 15M، 30M، 1H، 4H — هذا الإطار الذي يفتح عليه البوت الصفقات</t>
  </si>
  <si>
    <t>15M</t>
  </si>
  <si>
    <t>الإطار الزمني الأكبر المرجعي</t>
  </si>
  <si>
    <t>يُحدد تلقائيًا حسب إطار التداول المختار:
• إطار 1M  ←  المرجعي: 5M + 15M
• إطار 5M  ←  المرجعي: 15M + 30M
• إطار 15M  ←  المرجعي: 30M + 1H
• إطار 30M  ←  المرجعي: 1H + 4H
• إطار 1H  ←  المرجعي: 4H فقط (إطار واحد)
• إطار 4H  ←  المرجعي: 1D فقط (إطار واحد)</t>
  </si>
  <si>
    <t>30M + 1H</t>
  </si>
  <si>
    <t>نوع التداول</t>
  </si>
  <si>
    <t>قائمة منسدلة: البوت الآلي (التداول الخوارزمي الكامل بالذكاء الاصطناعي) — التداول اليدوي (المستخدم يضغط دخول الصفقة بنفسه)</t>
  </si>
  <si>
    <t>البوت الآلي</t>
  </si>
  <si>
    <t>🦁 ▶️  تشغيل البوت الآلي (Lion Bot)</t>
  </si>
  <si>
    <t>🟢  شراء يدوي</t>
  </si>
  <si>
    <t>🔴  بيع يدوي</t>
  </si>
  <si>
    <t>ملاحظة الأزرار:  زر البوت الذهبي بشعار الأسد ▶️ Play (يتحول إلى ⏹️ Stop باللون الأحمر الداكن عند التشغيل)  •  الزر الأخضر للشراء اليدوي  •  الزر الأحمر للبيع اليدوي</t>
  </si>
  <si>
    <t>📰  جدول ٢ — التحليل الأساسي والتقويم الاقتصادي  —  الوزن 20٪ من التحليل الكامل</t>
  </si>
  <si>
    <t>ثلاثة أقسام داخلية: المؤشرات الاقتصادية (مع السابق/المتوقع/الفعلي) + الأخبار والتقارير (تاريخ + ملخص) + الخطابات والتصريحات والتغريدات (تاريخ + نص أصلي)  •  الجداول أدناه عينة فقط — الحصر الشامل الكامل لجميع المؤشرات (100+) والمصادر مذكور حرفيًا في البرومبت الماستر</t>
  </si>
  <si>
    <t>🏛️ القسم الأول: المؤشرات الاقتصادية (Economic Indicators) — 40 مؤشر عينة • الحصر الشامل (100+) في البرومبت</t>
  </si>
  <si>
    <t>الأصل/العملة</t>
  </si>
  <si>
    <t>المؤشر الاقتصادي</t>
  </si>
  <si>
    <t>التوقيت UTC</t>
  </si>
  <si>
    <t>التوقيت المحلي</t>
  </si>
  <si>
    <t>السابق</t>
  </si>
  <si>
    <t>المتوقع</t>
  </si>
  <si>
    <t>الفعلي/الحالي</t>
  </si>
  <si>
    <t>التحليل المفصل (سردي تفسيري شامل)</t>
  </si>
  <si>
    <t>النتيجة</t>
  </si>
  <si>
    <t>1M</t>
  </si>
  <si>
    <t>5M</t>
  </si>
  <si>
    <t>30M</t>
  </si>
  <si>
    <t>1H</t>
  </si>
  <si>
    <t>4H</t>
  </si>
  <si>
    <t>الدرجة الموزونة</t>
  </si>
  <si>
    <t>النسبة من 20٪</t>
  </si>
  <si>
    <t>USD</t>
  </si>
  <si>
    <t>قرار الفائدة الفيدرالية (FOMC Rate Decision)</t>
  </si>
  <si>
    <t>18:00 UTC</t>
  </si>
  <si>
    <t>21:00 KSA</t>
  </si>
  <si>
    <t>—</t>
  </si>
  <si>
    <t>تحليل لحظي تفسيري شامل بلغة مفهومة لشخص مبتدئ يُولّد بالذكاء الاصطناعي</t>
  </si>
  <si>
    <t>إيجابي/سلبي</t>
  </si>
  <si>
    <t>شراء/بيع</t>
  </si>
  <si>
    <t>Dot Plot - توقعات أعضاء الفيدرالي</t>
  </si>
  <si>
    <t>حسب الجدولة</t>
  </si>
  <si>
    <t>FOMC Minutes - محاضر اجتماعات الفيدرالي</t>
  </si>
  <si>
    <t>شهري</t>
  </si>
  <si>
    <t>EUR</t>
  </si>
  <si>
    <t>ECB - قرار الفائدة الأوروبي</t>
  </si>
  <si>
    <t>12:15 UTC</t>
  </si>
  <si>
    <t>15:15 KSA</t>
  </si>
  <si>
    <t>GBP</t>
  </si>
  <si>
    <t>BOE - بنك إنجلترا (قرار الفائدة)</t>
  </si>
  <si>
    <t>11:00 UTC</t>
  </si>
  <si>
    <t>14:00 KSA</t>
  </si>
  <si>
    <t>JPY</t>
  </si>
  <si>
    <t>BOJ - بنك اليابان (قرار الفائدة + YCC)</t>
  </si>
  <si>
    <t>03:00 UTC</t>
  </si>
  <si>
    <t>06:00 KSA</t>
  </si>
  <si>
    <t>CHF</t>
  </si>
  <si>
    <t>SNB - البنك السويسري</t>
  </si>
  <si>
    <t>07:30 UTC</t>
  </si>
  <si>
    <t>10:30 KSA</t>
  </si>
  <si>
    <t>AUD</t>
  </si>
  <si>
    <t>RBA - البنك المركزي الأسترالي</t>
  </si>
  <si>
    <t>03:30 UTC</t>
  </si>
  <si>
    <t>06:30 KSA</t>
  </si>
  <si>
    <t>CAD</t>
  </si>
  <si>
    <t>BOC - بنك كندا (مهم للنفط)</t>
  </si>
  <si>
    <t>14:00 UTC</t>
  </si>
  <si>
    <t>17:00 KSA</t>
  </si>
  <si>
    <t>DXY - مؤشر الدولار الأمريكي</t>
  </si>
  <si>
    <t>لحظي</t>
  </si>
  <si>
    <t>CPI - مؤشر أسعار المستهلكين (Headline)</t>
  </si>
  <si>
    <t>12:30 UTC</t>
  </si>
  <si>
    <t>15:30 KSA</t>
  </si>
  <si>
    <t>Core CPI - مؤشر أسعار المستهلكين الأساسي</t>
  </si>
  <si>
    <t>PPI - مؤشر أسعار المنتجين</t>
  </si>
  <si>
    <t>PCE - نفقات الاستهلاك الشخصي (المفضل للفيد)</t>
  </si>
  <si>
    <t>Core PCE - PCE الأساسي بدون الغذاء والطاقة</t>
  </si>
  <si>
    <t>GDP - الناتج المحلي الإجمالي (Advance/Final)</t>
  </si>
  <si>
    <t>GDPNow - توقع الفيدرالي أتلانتا اللحظي</t>
  </si>
  <si>
    <t>Industrial Production - الإنتاج الصناعي</t>
  </si>
  <si>
    <t>13:15 UTC</t>
  </si>
  <si>
    <t>16:15 KSA</t>
  </si>
  <si>
    <t>NFP - الوظائف غير الزراعية (أهم تقرير شهري)</t>
  </si>
  <si>
    <t>Unemployment Rate - معدل البطالة</t>
  </si>
  <si>
    <t>Initial Jobless Claims - طلبات إعانة البطالة الأسبوعية</t>
  </si>
  <si>
    <t>JOLTS - فرص العمل + معدل الاستقالات</t>
  </si>
  <si>
    <t>ADP Employment - تقرير التوظيف الخاص</t>
  </si>
  <si>
    <t>Average Hourly Earnings - متوسط الأجور الساعية</t>
  </si>
  <si>
    <t>Retail Sales - مبيعات التجزئة (Headline + Core)</t>
  </si>
  <si>
    <t>Consumer Confidence - ثقة المستهلك (CB)</t>
  </si>
  <si>
    <t>UoM Consumer Sentiment - ثقة المستهلك ميشيغان</t>
  </si>
  <si>
    <t>ISM Manufacturing PMI - مؤشر مديري المشتريات الصناعي</t>
  </si>
  <si>
    <t>ISM Services PMI - مؤشر مديري المشتريات الخدمي</t>
  </si>
  <si>
    <t>S&amp;P Global PMI - المؤشر العالمي</t>
  </si>
  <si>
    <t>13:45 UTC</t>
  </si>
  <si>
    <t>16:45 KSA</t>
  </si>
  <si>
    <t>CNY</t>
  </si>
  <si>
    <t>Caixin PMI الصيني (مهم للسلع والنفط)</t>
  </si>
  <si>
    <t>01:45 UTC</t>
  </si>
  <si>
    <t>04:45 KSA</t>
  </si>
  <si>
    <t>Durable Goods Orders - طلبيات السلع المعمرة</t>
  </si>
  <si>
    <t>Housing Starts &amp; Building Permits</t>
  </si>
  <si>
    <t>Case-Shiller Home Price Index</t>
  </si>
  <si>
    <t>13:00 UTC</t>
  </si>
  <si>
    <t>16:00 KSA</t>
  </si>
  <si>
    <t>US Treasury Yields - عوائد السندات (2Y, 10Y, 30Y)</t>
  </si>
  <si>
    <t>Real Yields TIPS 10Y - العائد الحقيقي (الأهم للذهب)</t>
  </si>
  <si>
    <t>XTI/USD</t>
  </si>
  <si>
    <t>EIA Crude Oil Inventories - مخزونات النفط الأسبوعية</t>
  </si>
  <si>
    <t>14:30 UTC</t>
  </si>
  <si>
    <t>17:30 KSA</t>
  </si>
  <si>
    <t>API Crude Oil Inventories - تقرير API</t>
  </si>
  <si>
    <t>20:30 UTC</t>
  </si>
  <si>
    <t>23:30 KSA</t>
  </si>
  <si>
    <t>Baker Hughes Rig Count - عدد منصات الحفر</t>
  </si>
  <si>
    <t>الجمعة 17:00</t>
  </si>
  <si>
    <t>الجمعة 20:00</t>
  </si>
  <si>
    <t>COMEX Gold Positioning - مراكز المضاربين</t>
  </si>
  <si>
    <t>الجمعة 19:30</t>
  </si>
  <si>
    <t>الجمعة 22:30</t>
  </si>
  <si>
    <t>📰 القسم الثاني: الأخبار والتقارير المالية والاقتصادية — عينة • الحصر الشامل لكل المصادر الموثوقة في البرومبت</t>
  </si>
  <si>
    <t>الخبر / التقرير</t>
  </si>
  <si>
    <t>التاريخ</t>
  </si>
  <si>
    <t>المصدر</t>
  </si>
  <si>
    <t>الأهمية</t>
  </si>
  <si>
    <t>تقرير مجلس الذهب العالمي (WGC) ربعي</t>
  </si>
  <si>
    <t>ربعي</t>
  </si>
  <si>
    <t>حسب الإصدار</t>
  </si>
  <si>
    <t>World Gold Council</t>
  </si>
  <si>
    <t>عالي</t>
  </si>
  <si>
    <t>تحليل لحظي تفسيري شامل + ملخص الخبر بلغة مفهومة لشخص مبتدئ يُولّد بالذكاء الاصطناعي</t>
  </si>
  <si>
    <t>تقرير صندوق النقد الدولي للذهب</t>
  </si>
  <si>
    <t>دوري</t>
  </si>
  <si>
    <t>IMF</t>
  </si>
  <si>
    <t>تقرير الخزانة الأمريكية الفصلي</t>
  </si>
  <si>
    <t>15:00 UTC</t>
  </si>
  <si>
    <t>18:00 KSA</t>
  </si>
  <si>
    <t>US Treasury</t>
  </si>
  <si>
    <t>تقرير OPEC الشهري (MOMR)</t>
  </si>
  <si>
    <t>12:00 UTC</t>
  </si>
  <si>
    <t>15:00 KSA</t>
  </si>
  <si>
    <t>OPEC</t>
  </si>
  <si>
    <t>عالي جدًا</t>
  </si>
  <si>
    <t>تقرير وكالة الطاقة الدولية (IEA) الشهري</t>
  </si>
  <si>
    <t>08:00 UTC</t>
  </si>
  <si>
    <t>11:00 KSA</t>
  </si>
  <si>
    <t>IEA</t>
  </si>
  <si>
    <t>EIA Short-Term Energy Outlook (STEO)</t>
  </si>
  <si>
    <t>17:00 UTC</t>
  </si>
  <si>
    <t>20:00 KSA</t>
  </si>
  <si>
    <t>EIA</t>
  </si>
  <si>
    <t>الأخبار الجيوسياسية المؤثرة (حروب/عقوبات)</t>
  </si>
  <si>
    <t>Reuters/Bloomberg</t>
  </si>
  <si>
    <t>متغير</t>
  </si>
  <si>
    <t>COT Report - تقرير صفقات المضاربين</t>
  </si>
  <si>
    <t>أسبوعي</t>
  </si>
  <si>
    <t>CFTC</t>
  </si>
  <si>
    <t>تقارير CPI/PPI الأوروبية والآسيوية</t>
  </si>
  <si>
    <t>حسب الدولة</t>
  </si>
  <si>
    <t>البنوك المركزية</t>
  </si>
  <si>
    <t>تقارير LBMA Gold Price (London Fix)</t>
  </si>
  <si>
    <t>يومي</t>
  </si>
  <si>
    <t>10:30 + 15:00 UTC</t>
  </si>
  <si>
    <t>13:30 + 18:00 KSA</t>
  </si>
  <si>
    <t>LBMA</t>
  </si>
  <si>
    <t>متوسط</t>
  </si>
  <si>
    <t>Gold ETF Flows (GLD, IAU, SPDR)</t>
  </si>
  <si>
    <t>بعد إغلاق NY</t>
  </si>
  <si>
    <t>WGC/ETF Providers</t>
  </si>
  <si>
    <t>Mining Stocks Performance (GDX, GDXJ)</t>
  </si>
  <si>
    <t>NYSE</t>
  </si>
  <si>
    <t>🎤 القسم الثالث: الخطابات والتصريحات والتغريدات — عينة • الحصر الشامل لكل المتحدثين في البرومبت</t>
  </si>
  <si>
    <t>الأصل/العملة المتأثرة</t>
  </si>
  <si>
    <t>الخطاب / التصريح / التغريدة</t>
  </si>
  <si>
    <t>المتحدث</t>
  </si>
  <si>
    <t>المنصة</t>
  </si>
  <si>
    <t>التحليل المفصل + النص الأصلي (سردي تفسيري شامل)</t>
  </si>
  <si>
    <t>خطاب رئيس الفيدرالي + Press Conference</t>
  </si>
  <si>
    <t>18:30 UTC</t>
  </si>
  <si>
    <t>Jerome Powell</t>
  </si>
  <si>
    <t>Federal Reserve</t>
  </si>
  <si>
    <t>تحليل لحظي تفسيري شامل + النص الأصلي + الترجمة بلغة مفهومة لشخص مبتدئ يُولّد بالذكاء الاصطناعي</t>
  </si>
  <si>
    <t>خطاب رئيس البنك المركزي الأوروبي + Press Conference</t>
  </si>
  <si>
    <t>12:45 UTC</t>
  </si>
  <si>
    <t>Christine Lagarde</t>
  </si>
  <si>
    <t>ECB</t>
  </si>
  <si>
    <t>خطاب محافظ بنك إنجلترا</t>
  </si>
  <si>
    <t>BoE Governor</t>
  </si>
  <si>
    <t>Bank of England</t>
  </si>
  <si>
    <t>خطاب محافظ بنك اليابان</t>
  </si>
  <si>
    <t>BoJ Governor</t>
  </si>
  <si>
    <t>Bank of Japan</t>
  </si>
  <si>
    <t>خطابات الرئيس الأمريكي + تغريداته</t>
  </si>
  <si>
    <t>Donald Trump</t>
  </si>
  <si>
    <t>Twitter/X (@realDonaldTrump)</t>
  </si>
  <si>
    <t>تصريحات ولي العهد السعودي</t>
  </si>
  <si>
    <t>محمد بن سلمان</t>
  </si>
  <si>
    <t>الحساب الرسمي للقيادة السعودية</t>
  </si>
  <si>
    <t>تغريدات وزير الخزانة الأمريكي</t>
  </si>
  <si>
    <t>US Treasury Secretary</t>
  </si>
  <si>
    <t>Twitter/X</t>
  </si>
  <si>
    <t>تصريحات وزراء طاقة OPEC+ (السعودية، الإمارات، روسيا، إيران)</t>
  </si>
  <si>
    <t>OPEC+ Energy Ministers</t>
  </si>
  <si>
    <t>بيانات رسمية + Twitter</t>
  </si>
  <si>
    <t>تغريدات Macro Analysts المؤثرين</t>
  </si>
  <si>
    <t>El-Erian, Roubini, Lyn Alden, Raoul Pal</t>
  </si>
  <si>
    <t>تصريحات CEOs الكبار</t>
  </si>
  <si>
    <t>Larry Fink (BlackRock), Jamie Dimon (JPM)</t>
  </si>
  <si>
    <t>CNBC + Bloomberg + Twitter</t>
  </si>
  <si>
    <t>خطابات أعضاء FOMC الأفراد (Hawkish/Dovish)</t>
  </si>
  <si>
    <t>شبه يومي</t>
  </si>
  <si>
    <t>FOMC Members</t>
  </si>
  <si>
    <t>تصريحات البنك المركزي الصيني (PBOC)</t>
  </si>
  <si>
    <t>PBOC Governor</t>
  </si>
  <si>
    <t>China Central Bank</t>
  </si>
  <si>
    <t>🎯  الاتجاه العام والقرار النهائي اللحظي للتحليل الأساسي</t>
  </si>
  <si>
    <t>الأصل المختار</t>
  </si>
  <si>
    <t>الاتجاه العام لليوم (1D)</t>
  </si>
  <si>
    <t>الاتجاه اللحظي حسب الأطر الزمنية للمضاربة</t>
  </si>
  <si>
    <t>درجة الثقة %</t>
  </si>
  <si>
    <t>القرار اللحظي</t>
  </si>
  <si>
    <t>—%</t>
  </si>
  <si>
    <t>مساهمة جدول التحليل الأساسي في القرار النهائي للمنصة</t>
  </si>
  <si>
    <t>—٪ من 20٪</t>
  </si>
  <si>
    <t>إطار التداول المختار 👈</t>
  </si>
  <si>
    <t>🛠️  جدول ٣ — التحليل الفني / الأدوات الرئيسية الأساسية  —  الوزن 30٪ من التحليل الكامل  •  23 أداة</t>
  </si>
  <si>
    <t>الرقم</t>
  </si>
  <si>
    <t>الأداة / المدرسة / المؤشر</t>
  </si>
  <si>
    <t>التصنيف</t>
  </si>
  <si>
    <t>شرح الأداة واستراتيجيتها</t>
  </si>
  <si>
    <t>النتيجة حسب الإطار الزمني للمضاربة</t>
  </si>
  <si>
    <t>توافق الأطر الزمنية</t>
  </si>
  <si>
    <t>الوزن من 30٪</t>
  </si>
  <si>
    <t>درجة الثقة</t>
  </si>
  <si>
    <t>نتيجة التحليل</t>
  </si>
  <si>
    <t>زر تشغيل/إيقاف على الشارت
(الافتراضي: مغلق)</t>
  </si>
  <si>
    <t>نتيجة التحليل الشامل</t>
  </si>
  <si>
    <t>⭐ Tier S
هيكل السوق - القمم والقيعان (HH/HL/LH/LL, EQH, EQL)</t>
  </si>
  <si>
    <t>الأصول التاريخية والبرايس أكشن</t>
  </si>
  <si>
    <t>تحليل بنية السوق عبر القمم والقيعان. ترند صاعد = HH/HL، ترند هابط = LH/LL، تذبذب = EQH/EQL. إشارة شراء: تكوين HH جديد + HL فوق آخر HL + كسر آخر قمة هيكلية. إشارة شراء قوية (انعكاس): CHoCH هابط مكسور + تكوين HL أول. إشارة بيع: LH + LL + كسر آخر قاع هيكلي هابط. إشارة بيع قوية (انعكاس): CHoCH صاعد مكسور + تكوين LH أول. الاستراتيجية الذهبية: لا تتداول ضد الهيكل أبدًا. اربطه بإطار أعلى — هيكل 4H يحكم 15M. كلما اتفقت 3 أطر زمنية (4H + 1H + 15M) على نفس الهيكل = إشارة ذهبية.</t>
  </si>
  <si>
    <t>محايد</t>
  </si>
  <si>
    <t>OFF
────────
رسم القمم والقيعان الرئيسة والفرعية كنقاط ملوّنة</t>
  </si>
  <si>
    <t>⭐ Tier S
Pivot Points (Standard, Fibonacci, Camarilla, Woodie, DeMark)</t>
  </si>
  <si>
    <t>مستويات حسابية يومية/أسبوعية مشتقة من High/Low/Close: PP + R1/R2/R3 + S1/S2/S3. 5 طرق: Standard (الأكثر استخدامًا)، Fibonacci (بنسب فيبو)، Camarilla (للسكالبينج)، Woodie (وزن للإغلاق)، DeMark (للأسواق الجانبية). إشارة شراء: ارتداد من S1/S2 + شمعة انعكاسية + حجم. إشارة بيع: ارتداد من R1/R2 + شمعة انعكاسية + حجم. الاستراتيجية الذهبية: PP اليومي = أهم مستوى. السعر فوقه = تحيز شراء. Standard للسياق العام، Camarilla H3/L3 للسكالبينج، Fibonacci للسوينج، DeMark للأطر الكبرى.</t>
  </si>
  <si>
    <t>OFF
────────
رسم Pivot Points الخمسة على الشارت بألوان متمايزة</t>
  </si>
  <si>
    <t>⭐ Tier A
نماذج الشموع اليابانية + التداول العاري (Price Action) - حصر شامل لجميع الأنماط</t>
  </si>
  <si>
    <t>تشكيلات الشموع الفردية والمركبة التي تكشف نية السوق - حصر شامل إلزامي:
الفردية: Doji (Standard, Long-Legged, Dragonfly, Gravestone, Four-Price), Marubozu, Hammer, Inverted Hammer, Hanging Man, Shooting Star, Spinning Top, Belt-Hold, High Wave.
المزدوجة: Engulfing (Bullish/Bearish), Tweezer Tops/Bottoms, Piercing, Dark Cloud Cover, Harami, Harami Cross, On-Neck, In-Neck, Thrusting, Counterattack, Kicking, Matching Low/High, Separating Lines.
الثلاثية: Morning/Evening Star, Morning/Evening Doji Star, Three White Soldiers, Three Black Crows, Three Inside Up/Down, Three Outside Up/Down, Abandoned Baby, Tri-Star, Identical Three Crows, Deliberation, Concealing Baby Swallow, Stick Sandwich, Unique Three River Bottom, Three Stars in the South.
متعددة الشموع: Three-Method Formations, Mat Hold, Falling/Rising Three Methods, Upside/Downside Tasuki Gap, Gap Three Methods, Side-by-Side White Lines, Breakaway, Ladder Bottom/Top.
الاستراتيجية الذهبية: لا تتداول الشموع منفردة — اشترط 3 شروط: شكل الشمعة + موقعها (دعم/مقاومة) + الحجم.</t>
  </si>
  <si>
    <t>OFF
────────
تحديد كل نماذج الشموع تلقائيًا + كتابة اسم النمط بجانبها + تصنيف (شراء/بيع/تردد)</t>
  </si>
  <si>
    <t>⭐ Tier A
خطوط الدعم والمقاومة الأساسية</t>
  </si>
  <si>
    <t>دمج التحليل الكلاسيكي والمتوسطات</t>
  </si>
  <si>
    <t>مستويات أفقية تاريخية رئيسية من قمم وقيعان واضحة على إطار 4H وأعلى. إشارة شراء: السعر يصل لدعم أساسي + شمعة تأكيد + حجم. إشارة بيع: السعر يصل لمقاومة أساسية + شمعة تأكيد + حجم. إشارة قوية بالكسر: كسر مقاومة + Retest ناجح + شمعة = شراء قوي (المقاومة تتحول لدعم). الاستراتيجية الذهبية: لا تعتمد إلا على مستوى لُمس 3+ مرات. الكسر بحجم = حقيقي، بدون حجم = فخ.</t>
  </si>
  <si>
    <t>OFF
────────
رسم خطوط الدعم بالأخضر والمقاومة بالأحمر مع السعر على كل خط، وتبديل تلقائي عند الكسر</t>
  </si>
  <si>
    <t>⭐ Tier B
خطوط الدعم والمقاومة الفرعية</t>
  </si>
  <si>
    <t>مستويات داخلية أصغر مرسومة من قمم وقيعان على إطارات 15M-30M. أضعف من الأساسية. إشارة شراء: ارتداد من دعم فرعي + شمعة تأكيد على 15M. إشارة بيع: ارتداد من مقاومة فرعية + شمعة تأكيد. الاستراتيجية الذهبية: لا تستخدمها كنقطة دخول رئيسية — استخدمها لإدارة الصفقة. لو فرعية تتوافق مع أساسية = تعزيز قوة المستوى.</t>
  </si>
  <si>
    <t>OFF
────────
رسم خطوط الفرعية بخطوط متقطعة بألوان أفتح</t>
  </si>
  <si>
    <t>⭐ Tier A
خطوط الاتجاه (Trend Lines)</t>
  </si>
  <si>
    <t>خطوط مائلة تربط القمم في الترند الهابط والقيعان في الصاعد. إشارة شراء: ارتداد من خط ترند صاعد + شمعة تأكيد + ميل محافظ. إشارة بيع: ارتداد من خط ترند هابط + شمعة. إشارة قوية بالكسر: كسر الخط + Retest + شمعة عكسية = انعكاس. الاستراتيجية الذهبية: 3 لمسات على الأقل لاعتماد الخط. زاوية 30°-45° = ترند صحي.</t>
  </si>
  <si>
    <t>OFF
────────
رسم خطوط الاتجاه باللون الأبيض القابل للتعديل من تفضيلات المستخدم</t>
  </si>
  <si>
    <t>⭐ Tier B
SMA - متوسط بسيط ٢٠٠</t>
  </si>
  <si>
    <t>متوسط حسابي بسيط لـ 200 شمعة — الاتجاه الكلي طويل المدى. إشارة شراء: السعر فوق SMA 200 + ميل صاعد. إشارة بيع: السعر تحت SMA 200 + ميل هابط. إشارة ذهبية: Golden Cross (SMA 60 يقطع SMA 200 لأعلى) = شراء. Death Cross = بيع. الاستراتيجية الذهبية: فلتر اتجاه أعلى — لا تشترِ تحت SMA 200 أبدًا، ولا تبع فوقه.</t>
  </si>
  <si>
    <t>OFF
────────
رسم خط واحد سميك باللون الموف القاني (Purple)</t>
  </si>
  <si>
    <t>⭐ Tier B
SMA - متوسط بسيط ٦٠</t>
  </si>
  <si>
    <t>متوسط حسابي لـ 60 شمعة — الاتجاه متوسط المدى. إشارة شراء: السعر فوق SMA 60 + ميل صاعد. إشارة بيع: السعر تحت SMA 60 + ميل هابط. الاستراتيجية الذهبية: تأكيد الاتجاه قصير-متوسط المدى. تقاطعه مع SMA 200 (Golden/Death Cross) = إشارة قوية لتحول طويل المدى.</t>
  </si>
  <si>
    <t>OFF
────────
رسم خط ملوّن باللون الأبيض</t>
  </si>
  <si>
    <t>⭐ Tier A
EMA - متوسط أسي ٧ و ٢١ (مع التقاطع)</t>
  </si>
  <si>
    <t>متوسطان أسيّان قصيران للسكالبينج والتداول السريع — يستخدمان معًا كنظام. إشارة شراء: تقاطع EMA 7 فوق EMA 21 + السعر فوق كليهما + ميل صاعد. إشارة شراء قوية: التقاطع الصاعد في اتجاه SMA 200 الصاعد + حجم متزايد. إشارة بيع: تقاطع EMA 7 تحت EMA 21 + السعر تحت كليهما. الاستراتيجية الذهبية: انتظر 3 شموع تأكيد بعد التقاطع، لا تدخل عند التقاطع نفسه.</t>
  </si>
  <si>
    <t>OFF
────────
رسم EMA 7 بالأصفر و EMA 21 بالأخضر + علامات على نقاط التقاطع</t>
  </si>
  <si>
    <t>⭐ Tier B
FRAMA ١٢٦ - Fractal Adaptive Moving Average</t>
  </si>
  <si>
    <t>متوسط Fractal Adaptive يتكيف مع تعقيد السوق رياضيًا — يتباطأ في المتذبذب ويتسارع في الترند. إشارة شراء: السعر فوق FRAMA + الخط صاعد بميل واضح. إشارة بيع: السعر تحت FRAMA + الخط هابط. الاستراتيجية الذهبية: يقلل الإشارات الكاذبة في السوق الجانبي. أفضل من EMA و SMA في الذهب والنفط.</t>
  </si>
  <si>
    <t>OFF
────────
رسم خط واحد باللون البرتقالي</t>
  </si>
  <si>
    <t>⭐ Tier B
القناة السعرية الانحراف المعياري (Standard Deviation Channel)</t>
  </si>
  <si>
    <t>قناة من متوسط مركزي ± 2 انحراف معياري — تحتوي 95٪ من حركة السعر إحصائيًا. إشارة شراء: السعر يلامس الحد السفلي (-2σ) + شمعة انعكاسية. إشارة بيع: السعر يلامس الحد العلوي (+2σ) + شمعة انعكاسية. إشارة اختراق: كسر القناة بشمعة كبيرة + حجم = حركة قوية. الاستراتيجية الذهبية: استخدمها في السوق الجانبي. Squeeze = استعد لانفجار.</t>
  </si>
  <si>
    <t>OFF
────────
رسم 3 خطوط متوازية: مركزي صلب + علوي وسفلي متقطعين</t>
  </si>
  <si>
    <t>⭐ Tier B
القناة السعرية الانحدار الخطي (Linear Regression Channel)</t>
  </si>
  <si>
    <t>قناة بناءً على الانحدار الخطي — تأخذ ميل الترند في الاعتبار. إشارة شراء: ميل القناة صاعد + ارتداد من القاع + شمعة تأكيد. إشارة بيع: ميل القناة هابط + ارتداد من القمة + شمعة تأكيد. الاستراتيجية الذهبية: تُدمج مع Std Dev Channel في قناة ذكية واحدة (كما حدد في البرومبت).</t>
  </si>
  <si>
    <t>OFF
────────
رسم خط مركزي مائل + قناتان متوازيتان (مدمجة بشكل ذكي مع SD Channel)</t>
  </si>
  <si>
    <t>⭐ Tier A
النماذج الفنية السعرية - حصر شامل لجميع الأنماط</t>
  </si>
  <si>
    <t>تشكيلات هندسية كاملة في حركة السعر - حصر شامل إلزامي:
النماذج الانعكاسية: الرأس والكتفين (H&amp;S) عادي ومقلوب، القمة/القاع المزدوج، القمة/القاع الثلاثي، Rounding Top/Bottom (Saucer)، Diamond Top/Bottom، V Reversal، Spike &amp; Ledge، Island Reversal، Quasimodo (QM)، Three Drives، Wolfe Wave.
النماذج الاستمرارية: Bull Flag/Bear Flag، Bull Pennant/Bear Pennant، Rising/Falling Wedge، Ascending/Descending/Symmetrical/Broadening Triangle، Rectangle، Cup &amp; Handle، Inverted Cup &amp; Handle، Channel، Bump and Run Reversal، Scallops، Measured Moves، Three Pushes.
إشارة شراء: نموذج عكسي صاعد + كسر العنق/المقاومة + Retest + حجم. إشارة بيع: نموذج عكسي هابط + كسر العنق/الدعم + Retest + حجم. الاستراتيجية الذهبية: الهدف = ارتفاع/عمق النموذج (Measured Move). HTF أقوى من LTF.</t>
  </si>
  <si>
    <t>OFF
────────
تظليل النموذج كاملًا + خط العنق + سهم نحو الهدف + كتابة اسم النموذج</t>
  </si>
  <si>
    <t>⭐ Tier S
مدرسة الأموال الذكية SMC و ICT (Order Blocks, BOS, CHoCH, FVG, Breaker Blocks, Mitigation Blocks, Inducement, Premium/Discount, Imbalance)</t>
  </si>
  <si>
    <t>السعر الخام والتداول المؤسسي ورصد صناع السوق</t>
  </si>
  <si>
    <t>نظام تحليل مؤسسي كامل ومتماسك — كل مكوناته تعمل معًا كقصة. Order Blocks، BOS، CHoCH، FVG، Breaker Blocks، Mitigation Blocks، Inducement، Premium/Discount (50٪)، Imbalance. إشارة شراء: BOS صاعد على HTF → Retest على Bullish OB في Discount → شمعة تأكيد في LTF → دخول. إشارة بيع: BOS هابط → Retest على Bearish OB في Premium → شمعة تأكيد. الاستراتيجية الذهبية: HTF Bias (4H/1H) + LTF Entry (15M/5M). OB غير مُختبر أقوى. OB + FVG = Setup ذهبي.</t>
  </si>
  <si>
    <t>OFF
────────
رسم Order Blocks (مستطيلات ملوّنة) + علامات BOS/CHoCH + FVG + خطوط السيولة + Premium/Discount zones</t>
  </si>
  <si>
    <t>⭐ Tier S
منهجية ICT الكاملة (Killzones London/NY Open, Market Maker Models, OTE 61.8%, Liquidity Pools, Judas Swing, Silver Bullet, Power of 3 AMD)</t>
  </si>
  <si>
    <t>منهجية Michael Huddleston الكاملة — تسلسل زمني محكم. Killzones (London 8-11 GMT، NY 13-16 GMT)، MM Models، OTE (61.8%-79%)، Liquidity Pools، Judas Swing، Silver Bullet (15M window)، Power of 3 (AMD: Accumulation-Manipulation-Distribution). إشارة شراء: London Killzone → Asian Range Liquidity Sweep (Judas هبوطي) → OTE → Silver Bullet → دخول. الاستراتيجية الذهبية: التداول فقط داخل Killzones. اتبع Power of 3: تجميع آسيوي → تلاعب لندني → توزيع نيويوركي. OTE 70% = Sweet Spot.</t>
  </si>
  <si>
    <t>OFF
────────
تظليل Killzones زمنيًا + OTE Zones + AMD phases + Silver Bullet windows + Liquidity Pools</t>
  </si>
  <si>
    <t>⭐ Tier S
مناطق العرض والطلب (Supply &amp; Demand Zones)</t>
  </si>
  <si>
    <t>تحديد مناطق الانفجار السعري: شمعات قوية تترك مناطق طلب (دعم) أو عرض (مقاومة). إشارة شراء: السعر يعود لمنطقة طلب طازجة (Fresh) + شمعة تأكيد + ارتداد سريع. إشارة بيع: السعر يعود لمنطقة عرض طازجة + شمعة تأكيد. الاستراتيجية الذهبية: المنطقة الطازجة تنجح 75%+ تاريخيًا. RBR و DBD = أقوى الأنواع.</t>
  </si>
  <si>
    <t>OFF
────────
رسم مناطق العرض (أحمر فاتح) والطلب (أخضر فاتح) من الشمعات الانفجارية + تمييز Fresh vs Tested</t>
  </si>
  <si>
    <t>⭐ Tier S
مناطق البلوك أوردر (Order Blocks) مع Volume بالدولار</t>
  </si>
  <si>
    <t>آخر شمعة هابطة قبل صعود قوي = Bullish OB. آخر شمعة صاعدة قبل هبوط قوي = Bearish OB. تحتوي أوامر مؤسسية لم تُنفّذ بعد. إشارة شراء: Mitigation على Bullish OB + شمعة تأكيد + ارتداد سريع. إشارة شراء قوية: OB في HTF (4H/1H) + Confirmation في LTF + غير مُختبر. إشارة بيع: Mitigation على Bearish OB + شمعة تأكيد. الاستراتيجية الذهبية: OB + FVG = Imbalance Setup. OB يحتاج BOS قبله.</t>
  </si>
  <si>
    <t>OFF
────────
رسم Order Blocks (Bullish أخضر / Bearish أحمر) مع كتابة حجم التداول بالدولار داخل البلوك + Mitigated vs Unmitigated</t>
  </si>
  <si>
    <t>⭐ Tier A
Volume - حجم التداول الخام</t>
  </si>
  <si>
    <t>حجم الصفقات الخام لكل شمعة — يؤكد قوة الحركة أو يكشف ضعفها. إشارة شراء: ارتفاع السعر + ارتفاع الحجم = شراء حقيقي مدعوم. إشارة شراء قوية: Breakout صاعد + حجم 2x المتوسط + Marubozu = اختراق مؤسسي. إشارة بيع: انخفاض السعر + ارتفاع الحجم. إشارة انعكاس (Volume Climax): ارتفاع متطرف (3x+) بعد ترند طويل = إنهاك. الاستراتيجية الذهبية: لا حركة بدون حجم = حركة وهمية. كسر بدون حجم = فخ.</t>
  </si>
  <si>
    <t>OFF
────────
Histogram أسفل الشارت + متوسط متحرك (20) + تلوين الأعمدة (أخضر/أحمر)</t>
  </si>
  <si>
    <t>⭐ Tier A
Order Flow - تدفق الأوامر (Time &amp; Sales + DOM + Cumulative Delta + Absorbed Volume + Iceberg)</t>
  </si>
  <si>
    <t>تتبع تدفق الأوامر الحقيقي — Bid/Ask pressure، Aggressive Buys vs Sells، Cumulative Delta، Footprint. إشارة شراء: Bid stacks + Aggressive Buying + Delta صاعد + السعر صاعد. إشارة شراء قوية (Absorption): حجم بيع كبير بدون انخفاض = المؤسسات تمتص → انعكاس صاعد. إشارة بيع: Ask stacks + Aggressive Selling + Delta هابط. الاستراتيجية الذهبية: Cumulative Delta Divergence = أقوى إشارة انعكاس مبكر. Footprint Imbalance 3:1 = OB محتمل. Stop Run + Delta عكسي = Sweep مؤكد.</t>
  </si>
  <si>
    <t>OFF
────────
رسم نافذة Footprint منفصلة + خط Cumulative Delta + heatmap للضغط</t>
  </si>
  <si>
    <t>⭐ Tier S
نظرية السيولة والفخاخ - ICT/Wyckoff Liquidity Theory (BSL, SSL, Liquidity Sweep, Stop Hunt)</t>
  </si>
  <si>
    <t>تحديد مناطق السيولة: BSL (فوق القمم - Stops البائعين) و SSL (تحت القيعان - Stops المشترين). إشارة شراء: SSL Sweep — السعر يكسر قاعًا (هبوط مزيف) ثم يرتد بقوة + شمعة انعكاسية + إغلاق داخل Range. إشارة بيع: BSL Sweep — السعر يكسر قمة (صعود مزيف) ثم ينهار + شمعة + إغلاق داخل Range. الاستراتيجية الذهبية: لا تدخل في اتجاه Sweep — هذا فخ المؤسسات. ادخل عكسه بعد التأكيد. أقوى Sweeps عند Daily/Asian/Previous Day High/Low. Stop Hunt في Killzones = Judas Swing.</t>
  </si>
  <si>
    <t>OFF
────────
تظليل مناطق السيولة (BSL/SSL) + سهام على نقاط Sweep + إبراز شموع التأكيد + مناطق ضرب Stop Loss لصغار المتداولين</t>
  </si>
  <si>
    <t>⭐ Tier S
تصحيح فيبوناتشي (Fibonacci Retracement)</t>
  </si>
  <si>
    <t>الهندسة والرياضيات</t>
  </si>
  <si>
    <t>مستويات تصحيح طبيعية بنسب فيبو: 23.6%, 38.2%, 50%, 61.8% (الذهبية), 78.6%. إشارة شراء: في ترند صاعد، ارتداد من 0.618 أو 0.786 + شمعة + حجم. إشارة شراء ذهبية (Golden Setup): ارتداد من Golden Zone (0.618-0.786) + Order Block + Bullish FVG + Engulfing = أقوى إشارة. إشارة بيع: في ترند هابط، ارتداد من نفس المستويات. الاستراتيجية الذهبية: Golden Zone + شرط آخر = الإشارة الذهبية. كسر 0.786 = خطر انعكاس الترند.</t>
  </si>
  <si>
    <t>OFF
────────
رسم مستويات فيبوناتشي بالنسبة المئوية + تظليل Golden Zone</t>
  </si>
  <si>
    <t>⭐ Tier A
امتداد فيبوناتشي (Fibonacci Extension)</t>
  </si>
  <si>
    <t>مستويات أهداف فيبو الممتدة: 1.272, 1.414, 1.618 (الذهبي), 2.0, 2.618, 3.618. إشارة شراء (هدف): استهداف 1.272 ثم 1.618 بعد ارتداد ناجح من فيبو التصحيح. إشارة بيع (هدف): نفس بعكس الترند الهابط. الاستراتيجية الذهبية: 1.618 = الهدف المثالي لموجة 3 في إليوت. 2.618 للممتدة. خذ أرباحًا جزئية عند 1.272، حرّك SL لـ Breakeven عند 1.414، خذ كامل عند 1.618.</t>
  </si>
  <si>
    <t>OFF
────────
رسم خطوط أفقية بنسب امتداد فيبو + تمييز 1.618 كهدف رئيسي بلون ذهبي</t>
  </si>
  <si>
    <t>⭐ Tier A
RSI مع كشف الدايفرجنس (RSI + Regular &amp; Hidden Divergence)</t>
  </si>
  <si>
    <t>المؤشرات الفنية</t>
  </si>
  <si>
    <t>RSI القياسي (14 فترة) مع تقنية كشف الدايفرجنس بين السعر والمؤشر. إشارة شراء (Regular Bullish): السعر قاع أقل + RSI قاع أعلى = انعكاس صاعد. إشارة شراء (Hidden Bullish): السعر قاع أعلى + RSI قاع أقل = استمرار الترند، Pullback Entry. إشارة بيع (Regular Bearish): السعر قمة أعلى + RSI قمة أقل = انعكاس هابط. إشارة بيع (Hidden Bearish): السعر قمة أقل + RSI قمة أعلى = استمرار. تأكيد: RSI &lt; 30 + Bullish Div = شراء قوي. RSI &gt; 70 + Bearish Div = بيع قوي. الاستراتيجية الذهبية: Hidden Divergence = الأقوى للدخول داخل ترند. Regular = الأقوى لقمم/قيعان.</t>
  </si>
  <si>
    <t>OFF
────────
نافذة منفصلة تحت الشارت + خطوط تربط القمم/القيعان للدايفرجنس + خطوط 30/50/70 (السلبي والإيجابي العادي والخفي)</t>
  </si>
  <si>
    <t>🎯  القرار النهائي بناءً على جميع الأدوات والحسابات (حسب الإطار الزمني للمتداول مع اعتبار كل الأطر)  🎯</t>
  </si>
  <si>
    <t>الإطار الزمني</t>
  </si>
  <si>
    <t>مجموع أوزان الشراء</t>
  </si>
  <si>
    <t>مجموع أوزان البيع</t>
  </si>
  <si>
    <t>صافي الدرجة</t>
  </si>
  <si>
    <t>القرار النهائي</t>
  </si>
  <si>
    <t>درجة الثقة (%)</t>
  </si>
  <si>
    <t>🏛️  جدول ٤ — التحليل الفني / جميع مدارس التحليل الفني  —  الوزن 25٪ من التحليل الكامل  •  48 مدرسة</t>
  </si>
  <si>
    <t>الوزن من 25٪</t>
  </si>
  <si>
    <t>⭐ Tier S
نظرية داو (Dow Theory)</t>
  </si>
  <si>
    <t>مدرسة الأصول التاريخية</t>
  </si>
  <si>
    <t>تأسست على يد Charles Dow عام 1897. ست مبادئ: 1) السوق يعكس كل المعلومات (Market discounts everything) 2) السوق له 3 اتجاهات (رئيسي/ثانوي/صغير) 3) الترند الرئيسي له 3 مراحل (تجميع/مشاركة/توزيع) 4) المؤشران يجب أن يتوافقا (Confirmation) 5) الحجم يؤكد السعر 6) الترند مستمر حتى تأتي إشارة عكسية واضحة. إشارة شراء: تأكيد ترند صاعد على مؤشرين رئيسيين + حجم متزايد + كسر آخر قمة. إشارة بيع: تأكيد ترند هابط + حجم متزايد + كسر آخر قاع. الاستراتيجية الذهبية: Dow Confirmation — لا تأخذ صفقة إلا إذا تأكد الترند على مؤشرين (DJIA + DJTA كمثال، أو في الفوركس DXY + الأصل).</t>
  </si>
  <si>
    <t>OFF
────────
رسم المراحل الثلاث للترند على الشارت مع تحديد القمم/القيعان الكبرى</t>
  </si>
  <si>
    <t>⭐ Tier S
IPDA - Interbank Price Delivery Algorithm</t>
  </si>
  <si>
    <t>مدرسة السعر الخام والتداول المؤسسي ورصد صناع السوق</t>
  </si>
  <si>
    <t>كيف تُحرّك البنوك المركزية والمصارف السعر عبر خوارزميات آلية. تعمل على 3 أُطر زمنية: Daily, Weekly, Monthly. تُحدد الأسعار المستهدفة (BSL/SSL) مسبقًا. تكشف لماذا يتحرك السعر في اتجاهات محددة في أوقات محددة. إشارة شراء: السعر في Discount Range + Asian Range Sweep + London Manipulation Down ثم Reversal. إشارة بيع: السعر في Premium Range + Sweep قمة + London/NY Manipulation Up ثم Drop. الاستراتيجية الذهبية: IPDA Time Cycles — كل 20-40-60 يوم يحدث Liquidity Hunt كبير. ابحث عن Daily Bias من Weekly Range، ثم Liquidity Run في London/NY.</t>
  </si>
  <si>
    <t>OFF
────────
رسم Daily/Weekly/Monthly Ranges + علامات Liquidity Targets (BSL/SSL) + خوارزمية الحركة</t>
  </si>
  <si>
    <t>⭐ Tier A
شوكة أندروز (Andrews Pitchfork)</t>
  </si>
  <si>
    <t>المدرسة الكلاسيكية</t>
  </si>
  <si>
    <t>أداة هندسية طوّرها Alan Andrews. تستخدم 3 نقاط محورية (Pivot Points) لرسم 3 خطوط متوازية: الخط المركزي (Median Line) + خطان متوازيان فوق وتحت. السعر يميل للعودة للخط المركزي. إشارة شراء: السعر يلامس الخط السفلي + شمعة انعكاسية. إشارة بيع: السعر يلامس الخط العلوي + شمعة انعكاسية. الاستراتيجية الذهبية: Hagopian Rule — إذا فشل السعر بالوصول للخط المركزي وارتد للخط السفلي ثانيًا، احتمال ذهابه للخط العلوي عالٍ.</t>
  </si>
  <si>
    <t>OFF
────────
رسم 3 خطوط متوازية من نقاط Pivot (3 نقاط: P0, P1, P2)</t>
  </si>
  <si>
    <t>⭐ Tier B
صندوق دارفاس (Darvas Box Theory)</t>
  </si>
  <si>
    <t>طوّرها Nicolas Darvas الراقص الذي ربح 2 مليون $ في 18 شهر في الخمسينات. الفكرة: السوق يتحرك في صناديق (Boxes) — قمة وقاع. كسر الصندوق صاعد = شراء، كسر الصندوق هابط = بيع. إشارة شراء: كسر علوي للصندوق + حجم 2x المتوسط + إغلاق فوق القمة. إشارة بيع: كسر سفلي للصندوق + حجم. الاستراتيجية الذهبية: ادخل بعد إغلاق الشمعة فوق/تحت الصندوق (لا أثناء). ضع SL داخل الصندوق. ادمج Darvas مع MA لتأكيد الترند.</t>
  </si>
  <si>
    <t>OFF
────────
رسم صناديق (Rectangles) على القمم والقيعان مع علامات الكسر</t>
  </si>
  <si>
    <t>⭐ Tier A
تحليل مراحل وينشتاين (Weinstein Stage Analysis)</t>
  </si>
  <si>
    <t>طوّره Stan Weinstein في كتاب 'Secrets for Profiting in Bull and Bear Markets' (1988). السوق يمر بـ 4 مراحل: المرحلة 1 (قاع/تجميع - أفقي بعد هبوط)، المرحلة 2 (ترند صاعد قوي)، المرحلة 3 (قمة/توزيع - أفقي بعد صعود)، المرحلة 4 (ترند هابط قوي). إشارة شراء: نهاية المرحلة 1 + كسر MA30 الأسبوعي صاعد + حجم. إشارة بيع: نهاية المرحلة 3 + كسر MA30 الأسبوعي هابط + حجم. الاستراتيجية الذهبية: لا تشترِ إلا في المرحلة 2 (Trend-following). لا تبع إلا في المرحلة 4. تجنّب 1 و 3 (Sideways). فلتر MA30 الأسبوعي الصاعد + قوة نسبية إيجابية = أفضل Setup.</t>
  </si>
  <si>
    <t>OFF
────────
تظليل المراحل الأربع على الشارت (Phase 1-4) مع MA30 أسبوعي</t>
  </si>
  <si>
    <t>⭐ Tier B
الفراكتل ونظرية الفوضى (Fractal &amp; Chaos Theory) - Bill Williams</t>
  </si>
  <si>
    <t>طوّرها Bill Williams في كتاب 'Trading Chaos'. الأسواق نظام فوضوي لكنها تشكل أنماطًا فراكتالية (تكرارية على كل الأطر). 5 شموع تشكل Fractal: شمعة وسطى لها أعلى/أدنى من شمعتين قبلها وشمعتين بعدها. إشارة شراء: Up Fractal مكسور صاعد + Alligator فاتح فمه صعودًا. إشارة بيع: Down Fractal مكسور هابط + Alligator فاتح فمه نزولًا. الاستراتيجية الذهبية: Bill Williams 5-Dimension System: 1) Fractal 2) Alligator 3) Awesome Oscillator 4) Acceleration/Deceleration 5) Volume.</t>
  </si>
  <si>
    <t>OFF
────────
رسم Fractals (أسهم فوق/تحت الشمعة الوسطى) + Alligator (3 EMAs ملوّنة)</t>
  </si>
  <si>
    <t>⭐ Tier A
نظام السلحفاة (Turtle Trading) - Trend Following</t>
  </si>
  <si>
    <t>طوّره Richard Dennis في 1983. علّم 21 شخصًا (السلاحف) في 14 يومًا فأرباحهم تجاوزت 175 مليون $. النظام: 1) ادخل عند كسر أعلى 20 يوم (System 1) أو 55 يوم (System 2) 2) خرج عند كسر أدنى 10 يوم 3) Position Sizing بناءً على N (=ATR 20) 4) Pyramiding (إضافة لصفقات رابحة كل ½N). إشارة شراء: كسر أعلى 20/55 يوم + ATR صحي. إشارة بيع: كسر أدنى 20/55 يوم. الاستراتيجية الذهبية: Cut losses fast (2N stop)، let profits run، Pyramid up to 4 units. اتبع النظام بانضباط مطلق دون استثناء.</t>
  </si>
  <si>
    <t>OFF
────────
رسم Donchian Channels 20 و 55 + ATR-based position sizes</t>
  </si>
  <si>
    <t>⭐ Tier S
موجات إليوت (Elliott Wave Theory)</t>
  </si>
  <si>
    <t>مدرسة الأمواج والدورات</t>
  </si>
  <si>
    <t>طوّرها Ralph Nelson Elliott في الثلاثينات. السوق يتحرك في 8 موجات (5 دافعة + 3 تصحيحية). الموجة 3 الأقوى. كل موجة فيها موجات أصغر (Fractality). إشارة شراء: نهاية الموجة 2 التصحيحية (عند 50%-61.8% فيبو) + بداية الموجة 3 الصاعدة. إشارة شراء قوية: تأكيد قاع الموجة 4 + الموجة 5 المتوقعة. إشارة بيع: نهاية الموجة 5 الصاعدة + بداية موجة A الهابطة. الاستراتيجية الذهبية: ركّز على الموجة 3 (الأقوى والأطول والأكثر ربحًا). امتدادها 1.618 من الموجة 1 = الهدف الكلاسيكي. لا تتاجر التصحيحات (A-B-C) إلا للمحترفين.</t>
  </si>
  <si>
    <t>OFF
────────
ترقيم الموجات (1-2-3-4-5 + A-B-C) على الشارت مع قنوات إليوت</t>
  </si>
  <si>
    <t>⭐ Tier S
طريقة وايكوف (Wyckoff Method)</t>
  </si>
  <si>
    <t>طوّرها Richard Wyckoff (1873-1934) أحد آباء التحليل الفني. السوق يمر بـ 4 دورات: Accumulation → Markup → Distribution → Markdown. داخل التراكم: PSY (Preliminary Support), SC (Selling Climax), AR (Automatic Rally), ST (Secondary Test), Spring (اختراق مزيف للقاع), SOS (Sign of Strength), LPS (Last Point of Support), BU (Backup). داخل التوزيع: PSY, BC (Buying Climax), AR, ST, UTAD (Upthrust After Distribution), SOW (Sign of Weakness), LPSY (Last Point of Supply). 3 قوانين: العرض والطلب، السبب والنتيجة، الجهد والنتيجة. Composite Operator (CO) = المتداول الكبير الذي يحرك السوق. إشارة شراء: Spring في مرحلة Accumulation + SOS + LPS + كسر TR. إشارة بيع: UTAD في مرحلة Distribution + SOW + LPSY + كسر TR. الاستراتيجية الذهبية: Spring = أقوى إشارة شراء في وايكوف. UTAD = أقوى إشارة بيع. Effort vs Result (حجم كبير بدون حركة = إشارة انعكاس).</t>
  </si>
  <si>
    <t>OFF
────────
تظليل المراحل الأربع + علامات النقاط الرئيسية (PSY/SC/AR/ST/Spring/SOS/LPS/BU) و (BC/UTAD/SOW/LPSY)</t>
  </si>
  <si>
    <t>⭐ Tier B
دورات هيرست (Hurst Cycle Analysis)</t>
  </si>
  <si>
    <t>طوّرها J. M. Hurst في 'The Profit Magic of Stock Transaction Timing' (1970). السوق مكوّن من دورات متداخلة (Nested Cycles): 18-سنوية، 9-سنوية، 54-أسبوعية، 18-أسبوعية، 40-يومية، 20-يومية، 10-يومية، 5-يومية. إشارة شراء: قاع دورة كبرى + قيعان دورات أصغر متزامنة. إشارة بيع: قمة دورة كبرى + قمم دورات أصغر متزامنة. الاستراتيجية الذهبية: ابحث عن Synchronicity — تزامن قيعان/قمم عدة دورات في نفس النقطة = أقوى انعكاس. استخدم FLD (Future Line of Demarcation) للتوقيت.</t>
  </si>
  <si>
    <t>OFF
────────
رسم دورات متعددة الأطر (Yearly/Quarterly/Weekly/Daily) مع FLD</t>
  </si>
  <si>
    <t>⭐ Tier A
سلسلة دي مارك (DeMark Sequential &amp; Combo)</t>
  </si>
  <si>
    <t>طوّرها Tom DeMark (مستشار صناديق التحوط الكبرى مثل Soros و Tudor). تقنية عد 13 لاكتشاف نقاط انعكاس دقيقة. مرحلتان: Setup (9 شموع) + Countdown (13 شمعة). إشارة شراء: TD Sell Setup مكتمل (9) + TD Buy Countdown مكتمل (13) + Perfection 8/9. إشارة بيع: TD Buy Setup مكتمل (9) + TD Sell Countdown مكتمل (13). الاستراتيجية الذهبية: انتظر 'Perfection' — شمعة 8 أو 9 تحقق شرطًا إضافيًا (Low أقل من Low 6/7 لـ Buy Setup) = إشارة عالية الجودة.</t>
  </si>
  <si>
    <t>OFF
────────
ترقيم الشموع 1-9 (Setup) ثم 1-13 (Countdown) مع علامات Perfection</t>
  </si>
  <si>
    <t>⭐ Tier C
موجة كوندراتيف (Kondratieff Wave / Super Cycle)</t>
  </si>
  <si>
    <t>طوّرها Nikolai Kondratieff عام 1925. دورة اقتصادية طويلة جدًا (40-60 سنة) مكوّنة من 4 مراحل: ربيع (نمو)، صيف (ركود تضخمي)، خريف (انتعاش مالي)، شتاء (كساد). تستخدم للسياق طويل المدى جدًا (استثمار وليس مضاربة). الاستراتيجية الذهبية: حالياً (2024+) نحن في 'شتاء كوندراتيف' المتأخر — توقع تحوّل لربيع جديد قريبًا، مع أهمية تنويع الأصول الحقيقية (الذهب، السلع).</t>
  </si>
  <si>
    <t>OFF
────────
تحديد الدورة الحالية على شارت Yearly/Monthly مع المراحل الأربع</t>
  </si>
  <si>
    <t>⭐ Tier A
تحليل الحجم والانتشار (Volume Spread Analysis - VSA)</t>
  </si>
  <si>
    <t>مدرسة الحجم والتدفق</t>
  </si>
  <si>
    <t>طوّرها Tom Williams تلميذ Wyckoff. ربط بين 3 عناصر: السعر (Spread = High-Low) + الحجم (Volume) + الإغلاق (Close). إشارة شراء: No Demand Bar في ترند هابط + Test Bar (شمعة قصيرة بحجم منخفض بعد قاع) = إنهاك البيع. إشارة شراء قوية: Stopping Volume (حجم ضخم في قاع، شمعة تغلق في النصف الأعلى). إشارة بيع: No Supply Bar في ترند صاعد + Upthrust (شمعة طويلة بحجم منخفض تكسر قمة ثم ترجع) = إنهاك الشراء. إشارة بيع قوية: Effort to Rise but No Result (حجم ضخم بدون ارتفاع سعر) = توزيع مؤسسي. الاستراتيجية الذهبية: VSA Pro Setup — Spring/Test في قاع + Stopping Volume + No Supply في الارتداد = شراء ذهبي.</t>
  </si>
  <si>
    <t>OFF
────────
تلوين الشموع حسب VSA: أخضر (Bullish VSA Bars) / أحمر (Bearish VSA Bars) / محايد</t>
  </si>
  <si>
    <t>⭐ Tier S
ملف السوق (Market Profile)</t>
  </si>
  <si>
    <t>طوّرها J. Peter Steidlmayer في CBOT (شيكاغو) في الثمانينات. يقسّم اليوم إلى 30 دقيقة (TPO Letters: A, B, C, ...). ينشئ توزيع منحنى جرسي (Bell Curve) يكشف Value Area (70% من النشاط) + POC (Point of Control = أكثر سعر تداول). إشارة شراء: السعر يرتد من VAL (Value Area Low) في اتجاه الترند الصاعد. إشارة شراء قوية: P-shape Profile (تجميع) + كسر VAH صاعد. إشارة بيع: السعر يرتد من VAH (Value Area High). إشارة بيع قوية: b-shape Profile (تصريف) + كسر VAL هابط. الاستراتيجية الذهبية: تصنيف Day Type أولًا (Normal/Trend/Double Distribution/Neutral/Non-Trend) ثم القرار. Initial Balance (أول ساعة) يحدد نطاق اليوم.</t>
  </si>
  <si>
    <t>OFF
────────
رسم Profile جانبي على الشارت مع POC + VAH + VAL + TPO Letters</t>
  </si>
  <si>
    <t>⭐ Tier A
نظرية مزاد السوق (Auction Market Theory - AMT)</t>
  </si>
  <si>
    <t>نظرية J. Peter Steidlmayer (مرتبطة بـ Market Profile). السوق = مزاد مفتوح. السعر يبحث عن قبول (Acceptance) عند Value (القيمة)، ويرفض (Rejection) خارج Value. مبادئ: 1) Price + Time = Value 2) السوق إما Balanced أو Imbalanced 3) Initial Balance يحدد المسار 4) Rotation حول POC. إشارة شراء: Rotation من VAL في Balanced Market + Initial Balance Extension Up. إشارة بيع: Rotation من VAH + IB Extension Down. الاستراتيجية الذهبية: ابحث عن Imbalance (Single Prints, Poor Highs/Lows) — هذي مناطق المؤسسات. السعر يعود لها لإكمال 'Auction'.</t>
  </si>
  <si>
    <t>OFF
────────
تحليل التوازن/عدم التوازن للأيام + Initial Balance + Range Extension + Single Prints</t>
  </si>
  <si>
    <t>⭐ Tier A
البصمة والدلتا (Footprint Charts &amp; Delta)</t>
  </si>
  <si>
    <t>تطوّر من Market Profile. كل شمعة مفصّلة لخلايا تظهر: حجم الشراء عند كل سعر + حجم البيع عند كل سعر + Delta (الفرق). إشارة شراء: Bullish Imbalance 3:1 (شراء ≥ 3x البيع) + Cumulative Delta صاعد + السعر صاعد. إشارة شراء قوية (Absorption): حجم بيع كبير بدون انخفاض السعر. إشارة بيع: Bearish Imbalance 3:1 + Delta هابط. إشارة بيع قوية (Exhaustion): حجم شراء ضخم بدون ارتفاع = إنهاك. الاستراتيجية الذهبية: Delta Divergence مع السعر = أقوى إشارة انعكاس مبكر. Stacked Imbalances (3+ مستويات متتالية) = Order Block مؤسسي.</t>
  </si>
  <si>
    <t>OFF
────────
رسم Footprint Chart بجانب Candlestick + خط Cumulative Delta منفصل</t>
  </si>
  <si>
    <t>⭐ Tier B
تداول المجمعات المظلمة (Dark Pool Trading)</t>
  </si>
  <si>
    <t>صفقات المؤسسات الكبرى في بورصات خاصة (Dark Pools) لا تظهر في Order Book العام. تشكل 40%+ من حجم التداول في أسواق الأسهم. إشارة شراء: Large Dark Pool Print + التحرّك السعري بعدها في اتجاه شرائي. إشارة بيع: Large Dark Pool Print + التحرك في اتجاه بيعي. الاستراتيجية الذهبية: تتبع تقارير Dark Pool (SqueezeMetrics, BlockBeat) — صفقات &gt; 10,000 سهم/لوت غالبًا تكون إشارة لحركة قادمة. في الفوركس/الذهب: تتبع Block Trades عبر CME Group COT Reports.</t>
  </si>
  <si>
    <t>OFF
────────
تحديد Dark Pool Prints الكبيرة على الشارت + تتبع التحرك بعدها</t>
  </si>
  <si>
    <t>⭐ Tier S
ملف الحجم الأفقي (Volume Profile / TPO Profile - VPVR/VPSR)</t>
  </si>
  <si>
    <t>توزيع الحجم على المستويات السعرية (Vertical Histogram). أقسام: VPVR (Visible Range), VPSR (Session Range), VPFR (Fixed Range). العناصر: POC (Point of Control - أعلى حجم)، HVN (High Volume Node - مناطق دعم/مقاومة قوية)، LVN (Low Volume Node - مناطق حركة سريعة). إشارة شراء: ارتداد من POC أو HVN في اتجاه الترند الصاعد. إشارة شراء قوية: كسر LVN صاعد = حركة سريعة لـ HVN التالي. إشارة بيع: ارتداد من POC/HVN في اتجاه هابط. الاستراتيجية الذهبية: ادمج VPVR مع Market Profile — Confluence بين POC الأسبوعي + Daily VAH/VAL = أقوى منطقة قرار.</t>
  </si>
  <si>
    <t>OFF
────────
رسم Profile جانبي على الشارت + تلوين POC (أصفر) HVN (أخضر) LVN (أحمر)</t>
  </si>
  <si>
    <t>⭐ Tier B
Fibonacci Fan</t>
  </si>
  <si>
    <t>مراوح فيبو من نقطة محورية بنسب 38.2%, 50%, 61.8%. تستخدم للأسواق ذات الزوايا الواضحة (الترندات المائلة). إشارة شراء: ارتداد من خط 0.618 Fan في اتجاه الترند الصاعد. إشارة بيع: ارتداد من خط 0.618 Fan هابط. الاستراتيجية الذهبية: Fan أقوى من Retracement في الترندات الزاويّة. كسر خط 0.618 يعني انتقال السعر لخط أعمق.</t>
  </si>
  <si>
    <t>OFF
────────
رسم 3 خطوط مائلة من نقطة Pivot بنسب فيبو (38.2/50/61.8)</t>
  </si>
  <si>
    <t>⭐ Tier C
Fibonacci Arcs</t>
  </si>
  <si>
    <t>أقواس فيبو لقياس الدعم/المقاومة الزمني والسعري معًا. ترسم من قمة-قاع بنسب 38.2%, 50%, 61.8%. إشارة شراء: ارتداد من قوس 0.618 + شمعة. إشارة بيع: ارتداد من قوس 0.382 في ترند هابط. الاستراتيجية الذهبية: للأطر الكبيرة فقط (4H+, Daily). Arcs تكشف نقاط الزمن المحتملة للانعكاس.</t>
  </si>
  <si>
    <t>OFF
────────
رسم 3 أقواس من Pivot بنسب فيبو</t>
  </si>
  <si>
    <t>⭐ Tier C
Fibonacci Time Zones</t>
  </si>
  <si>
    <t>خطوط زمنية عمودية بنسب فيبو من نقطة بداية. كل خط = منطقة احتمال تحول السعر زمنيًا. النسب: 1, 2, 3, 5, 8, 13, 21, 34, 55, 89... الاستراتيجية الذهبية: مفيد لتوقع توقيت الحركة وليس اتجاهها. ابحث عن انعكاس عند الخط 21 أو 34.</t>
  </si>
  <si>
    <t>OFF
────────
رسم خطوط عمودية على الشارت بفواصل فيبو زمنية</t>
  </si>
  <si>
    <t>⭐ Tier C
Fibonacci Speed Resistance Fan</t>
  </si>
  <si>
    <t>مراوح بنسب 1/3 و 2/3 من نقطة Pivot. أقل استخدامًا من فيبو العادي لكن قوية لأسواق Gann. إشارة قوية: ارتداد من خط 2/3 = أقوى من 1/3.</t>
  </si>
  <si>
    <t>OFF
────────
رسم مروحة Speed Resistance من Pivot بنسب 1/3 و 2/3</t>
  </si>
  <si>
    <t>⭐ Tier S
نظرية غان السعرية (Gann Price Theory)</t>
  </si>
  <si>
    <t>طوّرها William Delbert Gann (1878-1955) أحد أعظم المتداولين في التاريخ. السوق مدفوع بقوانين هندسية ورياضية مرتبطة بالطبيعة والأبراج. الأدوات الرئيسية: Gann Angles (1x1, 1x2, 1x4, 2x1, 4x1)، Square of Nine، Gann Box. زاوية 45° (1x1) = الأهم — السعر يتحرك مع الزمن بنسبة 1:1. إشارة شراء: ارتداد من زاوية Gann 1x1 صاعدة + ارتفاع حجم. إشارة بيع: السعر يكسر زاوية 1x1 هابط. الاستراتيجية الذهبية: 1x1 Bullish = ترند صحي. كسرها = تحول جذري. Square of Nine يحدد أهداف سعرية دقيقة جدًا.</t>
  </si>
  <si>
    <t>OFF
────────
رسم Gann Angles (5 زوايا) + Square of Nine + Gann Box</t>
  </si>
  <si>
    <t>⭐ Tier A
الأنماط التوافقية (Harmonic Patterns)</t>
  </si>
  <si>
    <t>أنماط هندسية بنسب فيبو محددة طوّرها H.M. Gartley (1935) ثم Scott Carney. أنماط: Gartley, Butterfly, Bat, Crab, Cypher, Shark, ABCD, 5-0. كل نمط له نقطة D محسوبة بدقة (Potential Reversal Zone - PRZ). إشارة شراء: تكوّن نمط Bullish (مثل Bullish Gartley) + لمس D + شمعة انعكاسية + RSI Divergence. إشارة بيع: تكوّن Bearish Pattern + لمس D + شمعة + Divergence. الاستراتيجية الذهبية: Bullish Crab (نسبة D = 1.618 من XA) = أقوى نمط هارمونيك انعكاسي. ادمج مع Order Block + FVG في نفس D = Setup ذهبي.</t>
  </si>
  <si>
    <t>OFF
────────
رسم النمط (X-A-B-C-D) مع تحديد PRZ + نسب فيبو لكل ساق</t>
  </si>
  <si>
    <t>⭐ Tier C
الهندسة المقدسة (Sacred Geometry / Golden Ratio)</t>
  </si>
  <si>
    <t>تطبيق النسبة الذهبية (φ = 1.618) ونمط فيبو في حركات الأسواق. مرتبطة بأشكال هندسية مثل Vesica Piscis، Flower of Life، Phi Spiral. النسب الذهبية: 0.618, 1.618, 2.618. الاستراتيجية الذهبية: Phi Spiral على الشارت يكشف نقاط انعكاس دقيقة. للأطر الكبرى (Weekly/Monthly).</t>
  </si>
  <si>
    <t>OFF
────────
رسم Phi Spiral من قمة/قاع كبرى + Golden Sections</t>
  </si>
  <si>
    <t>⭐ Tier B
Renko Charts</t>
  </si>
  <si>
    <t>مدارس أنواع الشارت البديلة</t>
  </si>
  <si>
    <t>شارت غير معتمد على الزمن — يرسم كتلة (Brick) فقط عند تحرك السعر مسافة محددة (ATR-based). يلغي الضوضاء تمامًا. إشارة شراء: تكوّن كتلة خضراء بعد سلسلة حمراء. إشارة بيع: تكوّن كتلة حمراء بعد سلسلة خضراء. الاستراتيجية الذهبية: للترندات النظيفة فقط — ادخل عند 2-3 كتل متتالية. SL تحت آخر كتلة عكسية.</t>
  </si>
  <si>
    <t>OFF
────────
تبديل الشارت من شموع لـ Renko</t>
  </si>
  <si>
    <t>⭐ Tier B
Heikin Ashi</t>
  </si>
  <si>
    <t>شموع 'متوسطة' (Heikin Ashi = اليابانية 'الشريط المتوسط'). تنعّم الحركة لكشف الترند الحقيقي. Open = (Open السابق + Close السابق) / 2. Close = (O+H+L+C الحالي) / 4. إشارة شراء: 3+ شموع HA خضراء بدون ذيل سفلي + ميل صاعد. إشارة بيع: 3+ شموع HA حمراء بدون ذيل علوي. الاستراتيجية الذهبية: للترندات فقط — تجنّب الجانبي. اخرج عند ظهور Doji HA (شمعة بذيلين).</t>
  </si>
  <si>
    <t>OFF
────────
تبديل الشارت من Standard Candles لـ Heikin Ashi</t>
  </si>
  <si>
    <t>⭐ Tier C
Kagi Charts</t>
  </si>
  <si>
    <t>شارت ياباني قديم. يرسم خطوط عمودية تتغير سمكها حسب اختراق نقاط محورية. الخط السميك (Yang) = صاعد، النحيف (Yin) = هابط. إشارة شراء: تحول الخط من Yin إلى Yang. إشارة بيع: تحول من Yang إلى Yin. الاستراتيجية الذهبية: للسوينج طويل المدى. يلغي ضوضاء الزمن.</t>
  </si>
  <si>
    <t>OFF
────────
تبديل الشارت لـ Kagi</t>
  </si>
  <si>
    <t>⭐ Tier C
Three Line Break</t>
  </si>
  <si>
    <t>شارت ياباني. خط أخضر (صاعد) يستمر حتى يكسر السعر أدنى 3 خطوط خضراء سابقة، فيتحول لخط أحمر. والعكس. إشارة شراء: تحول من 3 خطوط حمراء لخضراء. إشارة بيع: العكس. الاستراتيجية الذهبية: لتأكيد تحولات الترند الكبرى.</t>
  </si>
  <si>
    <t>OFF
────────
تبديل الشارت لـ Three Line Break</t>
  </si>
  <si>
    <t>⭐ Tier B
Range Bars</t>
  </si>
  <si>
    <t>شارت غير زمني — كل Bar = حركة سعر بمسافة محددة (مثل 10 pips). يلغي الضوضاء ويوحّد التحليل. الاستراتيجية الذهبية: استخدمه مع Pivot Points + S/R — كل Bar يساوي حركة مهمة. ممتاز للسكالبينج.</t>
  </si>
  <si>
    <t>OFF
────────
تبديل الشارت لـ Range Bars</t>
  </si>
  <si>
    <t>⭐ Tier B
Point &amp; Figure</t>
  </si>
  <si>
    <t>شارت غير زمني قديم. X = صعود، O = هبوط. يلغي الضوضاء ويركز على Patterns. إشارة شراء: Double Top Breakout. إشارة بيع: Double Bottom Breakdown. الاستراتيجية الذهبية: للأسواق الترندية فقط. Bullish Catapult / Bearish Catapult = أقوى patterns.</t>
  </si>
  <si>
    <t>OFF
────────
تبديل الشارت لـ Point &amp; Figure</t>
  </si>
  <si>
    <t>⭐ Tier B
Tick Charts</t>
  </si>
  <si>
    <t>كل Bar = عدد محدد من الصفقات (مثل 1000 tick). يعكس النشاط الحقيقي وليس الزمن. الاستراتيجية الذهبية: ممتاز للسكالبينج عالي التردد. يكشف التراكم/التصريف الفعلي.</t>
  </si>
  <si>
    <t>OFF
────────
تبديل الشارت لـ Tick Charts</t>
  </si>
  <si>
    <t>⭐ Tier A
التداول الكمي/الخوارزمي (Quantitative Algo Trading)</t>
  </si>
  <si>
    <t>المدارس الكمية الحديثة</t>
  </si>
  <si>
    <t>استخدام النماذج الرياضية والإحصائية لاتخاذ قرارات تداول. أساس صناديق التحوط الكبرى (Renaissance, Citadel, Two Sigma). أنواع: Statistical Arbitrage، Mean Reversion، Trend Following، Market Making، High-Frequency Trading. الاستراتيجية الذهبية: ابدأ بـ Mean Reversion على الأطر القصيرة (z-score &gt; 2 = شراء/بيع). HFT يتطلب بنية تحتية متخصصة.</t>
  </si>
  <si>
    <t>OFF
────────
تنفيذ algorithms مبرمجة مع backtesting صارم</t>
  </si>
  <si>
    <t>⭐ Tier A
ارتداد للمتوسط (Mean Reversion)</t>
  </si>
  <si>
    <t>نظرية أن السعر يعود لمتوسطه على المدى الطويل. تستخدم Bollinger Bands، Standard Deviation، RSI Extreme. إشارة شراء: z-score &lt; -2 (السعر أقل من المتوسط بـ 2 انحراف) + شمعة انعكاسية. إشارة بيع: z-score &gt; +2. الاستراتيجية الذهبية: ممتازة للأسواق الجانبية. تجنّبها في الترندات القوية (الترند يستمر).</t>
  </si>
  <si>
    <t>OFF
────────
رسم Z-Score Indicator + Mean Line + Standard Deviation Bands</t>
  </si>
  <si>
    <t>⭐ Tier A
التحليل بين الأسواق (Intermarket Analysis)</t>
  </si>
  <si>
    <t>تحليل العلاقات بين الأسواق المختلفة (Stocks, Bonds, Currencies, Commodities). علاقات رئيسية: DXY ↔ Gold (عكسية)، Bond Yields ↔ Gold (عكسية)، Stocks ↔ Bonds (متغيرة)، Oil ↔ USD (عكسية). إشارة شراء على الذهب: DXY هابط + Bond Yields هابطة + Stocks هابطة (Risk-Off) + Fed Dovish. إشارة بيع على الذهب: العكس. الاستراتيجية الذهبية: لا تتاجر الذهب بمعزل — راقب DXY يوميًا. كسر DXY هابط = إشارة شراء قوية للذهب.</t>
  </si>
  <si>
    <t>OFF
────────
شارت مقارنة بين الأصول المرتبطة (Overlay)</t>
  </si>
  <si>
    <t>⭐ Tier S
تقرير COT (Commitment of Traders)</t>
  </si>
  <si>
    <t>تقرير أسبوعي من CFTC (الجمعة 19:30 UTC) يكشف صفقات 3 فئات: Commercials (Hedgers - مؤسسات تحوّط)، Large Speculators (صناديق التحوط)، Small Speculators (الأفراد). Commercials = Smart Money (المعاكسون للترند، يبيعون القمم ويشترون القيعان). إشارة شراء: Commercials Net Long Extreme + Small Specs Net Short = شراء قوي قادم. إشارة بيع: Commercials Net Short Extreme + Small Specs Net Long = بيع قادم. الاستراتيجية الذهبية: COT Index — مقارنة الصفقات بالـ 3 سنوات السابقة. Index &gt; 80 = Long Extreme. Index &lt; 20 = Short Extreme. ادمج مع التحليل الفني.</t>
  </si>
  <si>
    <t>OFF
────────
رسم COT Net Positions + COT Index على شارت منفصل</t>
  </si>
  <si>
    <t>⭐ Tier B
اتساع السوق (Market Breadth)</t>
  </si>
  <si>
    <t>قياس مدى مشاركة الأسهم في الترند العام. مؤشرات: Advance/Decline Line، McClellan Oscillator، % Stocks Above MA50. إشارة شراء: السوق يصعد + Breadth يصعد = صحي. إشارة تحذير: السوق يصعد + Breadth ينخفض = Divergence سلبية، انهيار قادم. الاستراتيجية الذهبية: Breadth Thrust (90%+ من الأسهم فوق MA50 خلال 10 أيام) = إشارة شراء قوية جدًا تاريخيًا.</t>
  </si>
  <si>
    <t>OFF
────────
رسم AD Line + McClellan + Breadth Indicators</t>
  </si>
  <si>
    <t>⭐ Tier A
الذكاء الاصطناعي والتعلم الآلي في التحليل (AI &amp; Machine Learning in TA)</t>
  </si>
  <si>
    <t>استخدام Neural Networks, Random Forests, LSTM, Transformer Models لتوقع حركة السعر. نماذج: Pattern Recognition, Sentiment Analysis, Reinforcement Learning. إشارة شراء: AI Confidence Score &gt; 75% + توافق مع تحليل آخر. الاستراتيجية الذهبية: AI كأداة تأكيد، ليس قرار وحيد. ادمجه دائمًا مع التحليل التقليدي.</t>
  </si>
  <si>
    <t>OFF
────────
Overlay AI Predictions على الشارت مع Confidence %</t>
  </si>
  <si>
    <t>⭐ Tier B
الموسمية (Seasonality)</t>
  </si>
  <si>
    <t>تحليل الأنماط الموسمية للأصول (شهرية/أسبوعية/يومية). أمثلة: الذهب يصعد عادة في يناير وأغسطس وسبتمبر. النفط يصعد في مارس-مايو (موسم القيادة الصيفية). إشارة شراء: شهر تاريخيًا صاعد + تأكيد فني. الاستراتيجية الذهبية: Seasonality كفلتر سياقي — لا تشترِ ضد الموسمية، ولا تبع معها بقوة.</t>
  </si>
  <si>
    <t>OFF
────────
Overlay Seasonal Chart (متوسط 10-20 سنة) على الشارت</t>
  </si>
  <si>
    <t>⭐ Tier A
منهجية أونيل (CANSLIM Growth Trading) - William O'Neil</t>
  </si>
  <si>
    <t>نظام تداول الأسهم النامية. CAN SLIM = C (Current Earnings ≥25% Q/Q) + A (Annual Earnings ≥25% × 3 سنوات) + N (New Products/Management/Highs) + S (Supply &amp; Demand - حجم متزايد) + L (Leader vs Laggard - RS ≥80) + I (Institutional Sponsorship) + M (Market Direction). إشارة شراء: 7 شروط مكتملة + Cup &amp; Handle pattern + Breakout بحجم. الاستراتيجية الذهبية: للأسهم الأمريكية فقط (NASDAQ, NYSE). Cut Loss عند -7%. Pyramid عند ربح 20-25%.</t>
  </si>
  <si>
    <t>OFF
────────
Overlay CANSLIM Score على الشارت + Cup &amp; Handle Detection</t>
  </si>
  <si>
    <t>⭐ Tier A
تداول الزخم (Momentum Trading)</t>
  </si>
  <si>
    <t>شراء الأقوى، بيع الأضعف. اعتمد على Newton's First Law: الأجسام في حركة تستمر في الحركة. مؤشرات: RSI, MACD, ROC, Mansfield Relative Strength. إشارة شراء: ROC &gt; 5% + RSI &gt; 60 + Volume صاعد + Breakout. الاستراتيجية الذهبية: Momentum Strategy Pro — اشترِ Top 10% في الـ 12 شهر، بِع Bottom 10%. Rebalance شهريًا.</t>
  </si>
  <si>
    <t>OFF
────────
Momentum Scanner + RS Rating + Breakout Detector</t>
  </si>
  <si>
    <t>⭐ Tier B
القوة النسبية مانسفيلد (Mansfield Relative Strength)</t>
  </si>
  <si>
    <t>طوّرها Stan Weinstein. مؤشر يقارن أداء الأصل بـ Benchmark (S&amp;P 500). RS &gt; 0 = الأصل يتفوق على المؤشر العام. إشارة شراء: RS &gt; 0 + يصعد + الأصل في Stage 2 (وينشتاين). الاستراتيجية الذهبية: اشترِ فقط الأصول ذات RS موجبة وصاعدة. تجنّب RS سالبة بأي ثمن.</t>
  </si>
  <si>
    <t>OFF
────────
رسم Mansfield RS Indicator أسفل الشارت</t>
  </si>
  <si>
    <t>⭐ Tier A
مربع غان الزمني (Gann Square of Time)</t>
  </si>
  <si>
    <t>التحليل الزمني</t>
  </si>
  <si>
    <t>Gann اعتقد بأن الزمن أهم من السعر. Square of Nine = جدول دائري مربع يحدد علاقات زمنية وسعرية. Anniversary Dates: السعر يميل للانعكاس في تواريخ سنوية مهمة (مثل High/Low قبل 1 سنة). إشارة شراء: تاريخ Anniversary + لمس مستوى دعم Gann. الاستراتيجية الذهبية: Time Squares Price — عندما يتطابق Time Cycle مع Price Level = أقوى نقطة قرار.</t>
  </si>
  <si>
    <t>OFF
────────
رسم Gann Square of 9 + Anniversary Lines + Time Cycles</t>
  </si>
  <si>
    <t>⭐ Tier C
النجمة الزمنية لغان (Gann Star / Hexagon Chart)</t>
  </si>
  <si>
    <t>أداة Gann المتقدمة. مخطط Hexagonal يحدد التواريخ المحتملة للانعكاسات. الاستراتيجية الذهبية: للأطر الكبيرة جدًا (Yearly). للمحترفين فقط.</t>
  </si>
  <si>
    <t>OFF
────────
رسم Hexagon Chart مع Time Markers</t>
  </si>
  <si>
    <t>⭐ Tier B
التحليل الزمني الدوري (Cyclic Analysis)</t>
  </si>
  <si>
    <t>تحليل الدورات الزمنية المتداخلة في السوق (مثل Hurst Cycles, Bradley Model, Spiral Calendar). إشارة شراء: تزامن قاع عدة دورات. الاستراتيجية الذهبية: ابحث عن Confluence بين دورات متعددة الأطر.</t>
  </si>
  <si>
    <t>OFF
────────
رسم Cycles Indicator + Time Cycle Projections</t>
  </si>
  <si>
    <t>⭐ Tier C
التوقيت الفلكي (Financial Astrology)</t>
  </si>
  <si>
    <t>ربط حركة الأسواق بالأحداث الفلكية (تموضع الكواكب، خسوف، كسوف). طوّرها W.D. Gann و Donald Bradley. إشارة محتملة: Mercury Retrograde + Full Moon = تقلبات. الاستراتيجية الذهبية: كفلتر سياقي فقط، ليس قرار وحيد. تجنّب الصفقات الكبيرة خلال Mercury Retrograde.</t>
  </si>
  <si>
    <t>OFF
────────
Overlay Astrological Events Calendar على الشارت</t>
  </si>
  <si>
    <t>⭐ Tier A
تحليل جلسات الأسواق (Market Sessions Analysis)</t>
  </si>
  <si>
    <t>السوق ينقسم لـ 4 جلسات: Sydney (22-07 GMT)، Tokyo (00-09 GMT)، London (08-17 GMT)، NY (13-22 GMT). كل جلسة لها طبيعة. London = أعلى حجم (37% من تداول الفوركس). NY Overlap (13-17 GMT) = الأكثر تقلبًا. إشارة شراء: London Open + Asian Range Sweep هابط + Reversal صاعد. الاستراتيجية الذهبية: التداول فقط في London + NY (Killzones). تجنّب Asian للسكالبينج (low volume). Asian Range = منطقة سيولة يجب احترامها.</t>
  </si>
  <si>
    <t>OFF
────────
تظليل الجلسات الأربع بألوان مختلفة على الشارت + Asian Range Box</t>
  </si>
  <si>
    <t>⭐ Tier B
Volume Charts</t>
  </si>
  <si>
    <t>شارت غير زمني — كل Bar = حجم محدد من التداول (مثل 10,000 لوت). يكشف النشاط المؤسسي الحقيقي. الاستراتيجية الذهبية: مكمل لـ Footprint و Order Flow. ممتاز لكشف Stop Hunts الحقيقية.</t>
  </si>
  <si>
    <t>OFF
────────
تبديل الشارت لـ Volume Bars</t>
  </si>
  <si>
    <t>📊  جدول ٥ — التحليل الفني / المؤشرات الفنية  —  الوزن 10٪ من التحليل الكامل  •  54 مؤشر</t>
  </si>
  <si>
    <t>الوزن من 10٪</t>
  </si>
  <si>
    <t>⭐ Tier B
Parabolic SAR</t>
  </si>
  <si>
    <t>مؤشرات الاتجاه</t>
  </si>
  <si>
    <t>نقاط فوق السعر = بيع، تحت السعر = شراء. لا تأخذ Flip منفردًا في الأسواق الجانبية — اشترط ADX &gt; 25 + توافق H1. الأقوى استخدامه كـ Trailing Stop ديناميكي.</t>
  </si>
  <si>
    <t>OFF
────────
رسم نقاط SAR على الشارت</t>
  </si>
  <si>
    <t>⭐ Tier A
Supertrend</t>
  </si>
  <si>
    <t>تغيّر لون الخط من أحمر إلى أخضر تحت السعر = شراء. الإعدادات: (10,3) للسكالبينج. لا تدخل إلا بتوافق تقاطع EMA20/50 + كسر BOS.</t>
  </si>
  <si>
    <t>OFF
────────
رسم خط Supertrend ملوّن</t>
  </si>
  <si>
    <t>⭐ Tier B
WMA - Weighted Moving Average</t>
  </si>
  <si>
    <t>السعر فوق WMA + ميل صاعد = شراء. WMA(20) أسرع من SMA. تقاطع WMA(9) و WMA(21) لإشارات سكالبينج.</t>
  </si>
  <si>
    <t>OFF
────────
رسم خط WMA</t>
  </si>
  <si>
    <t>⭐ Tier B
HMA - Hull Moving Average</t>
  </si>
  <si>
    <t>تغير لون HMA(21) من أحمر إلى أخضر = شراء. الأقوى في تقليل التأخر — مثالي للسكالبينج. ادخل في اتجاه HMA(200) على H1.</t>
  </si>
  <si>
    <t>OFF
────────
رسم خط HMA</t>
  </si>
  <si>
    <t>⭐ Tier B
VWMA - Volume Weighted MA</t>
  </si>
  <si>
    <t>السعر فوق VWMA مع تباعدها عن SMA = ضغط شراء مدعوم بالحجم. الأقوى لكشف انخراط الأموال الذكية.</t>
  </si>
  <si>
    <t>OFF
────────
رسم خط VWMA</t>
  </si>
  <si>
    <t>⭐ Tier B
DEMA - Double Exponential MA</t>
  </si>
  <si>
    <t>تقاطع DEMA(8) فوق DEMA(21) = شراء. أسرع من EMA بضعفين، لكن أكثر حساسية للضوضاء.</t>
  </si>
  <si>
    <t>OFF
────────
رسم خطين DEMA</t>
  </si>
  <si>
    <t>⭐ Tier B
TEMA - Triple Exponential MA</t>
  </si>
  <si>
    <t>تقاطع TEMA(9) و TEMA(21) كإشارة دخول + تأكيد TEMA(55) كاتجاه أكبر. أسرع متوسط بدون تأخر فعلي.</t>
  </si>
  <si>
    <t>OFF
────────
رسم 3 خطوط TEMA</t>
  </si>
  <si>
    <t>⭐ Tier B
KAMA - Kaufman Adaptive MA</t>
  </si>
  <si>
    <t>السعر فوق KAMA الصاعد = شراء. الميزة: يتباطأ في الأسواق الجانبية ويتسارع في الترندات.</t>
  </si>
  <si>
    <t>OFF
────────
رسم خط KAMA</t>
  </si>
  <si>
    <t>⭐ Tier B
ALMA - Arnaud Legoux MA</t>
  </si>
  <si>
    <t>تغير ميل ALMA(21) لأعلى مع كسر السعر = شراء قوي. أنعم وأدق من EMA.</t>
  </si>
  <si>
    <t>OFF
────────
رسم خط ALMA</t>
  </si>
  <si>
    <t>⭐ Tier B
McGinley Dynamic</t>
  </si>
  <si>
    <t>السعر فوقه + الخط صاعد = شراء. لا يتأخر في الحركات السريعة ولا يعطي إشارات كاذبة في الجانبي.</t>
  </si>
  <si>
    <t>OFF
────────
رسم خط McGinley</t>
  </si>
  <si>
    <t>⭐ Tier B
Volatility Stop</t>
  </si>
  <si>
    <t>النقاط تحت السعر = اتجاه صاعد. مثل Parabolic SAR لكن معتمد على ATR. الأقوى للـ Trailing Stop.</t>
  </si>
  <si>
    <t>OFF
────────
رسم نقاط Volatility Stop</t>
  </si>
  <si>
    <t>⭐ Tier S
MACD - Moving Average Convergence Divergence</t>
  </si>
  <si>
    <t>مؤشرات الزخم</t>
  </si>
  <si>
    <t>تقاطع MACD فوق Signal + هستوغرام أخضر فوق الصفر = شراء. الأقوى: Hidden Divergence لتأكيد الترند، Regular Divergence للانعكاس.</t>
  </si>
  <si>
    <t>OFF
────────
نافذة منفصلة + خطوط MACD + هستوغرام</t>
  </si>
  <si>
    <t>⭐ Tier A
Stochastic Oscillator</t>
  </si>
  <si>
    <t>تقاطع %K فوق %D في منطقة &lt; 20 = شراء. تقاطع تحت %D في &gt; 80 = بيع. إعدادات (14,3,3) للأطر الكبرى، (5,3,3) للسكالبينج.</t>
  </si>
  <si>
    <t>OFF
────────
نافذة منفصلة + %K و %D</t>
  </si>
  <si>
    <t>⭐ Tier B
Stochastic RSI</t>
  </si>
  <si>
    <t>أسرع من Stochastic العادي. شراء عند خروج من &lt; 20 وتقاطع لأعلى. الأمثل للأطر الصغيرة جدًا.</t>
  </si>
  <si>
    <t>OFF
────────
نافذة منفصلة</t>
  </si>
  <si>
    <t>⭐ Tier S
ADX + DMI</t>
  </si>
  <si>
    <t>ADX &gt; 25 = ترند قوي. +DI فوق -DI = شراء. ADX &lt; 20 = جانبي تجنّب التداول. بوصلة مزدوجة لا تخطئ.</t>
  </si>
  <si>
    <t>OFF
────────
نافذة منفصلة + 3 خطوط (ADX, +DI, -DI)</t>
  </si>
  <si>
    <t>⭐ Tier B
CCI - Commodity Channel Index</t>
  </si>
  <si>
    <t>فوق +100 = زخم شرائي قوي. تحت -100 = زخم بيعي. الأقوى في السلع والذهب. استخدم Zero Cross للتأكيد.</t>
  </si>
  <si>
    <t>⭐ Tier B
Williams %R</t>
  </si>
  <si>
    <t>&lt; -80 + بدء صعود = شراء. &gt; -20 + بدء هبوط = بيع. مشابه لـ Stochastic لكن أسرع.</t>
  </si>
  <si>
    <t>⭐ Tier B
ROC - Rate of Change</t>
  </si>
  <si>
    <t>موجبة متزايدة = زخم صاعد قوي. سالبة متناقصة = زخم بيعي. تقاطع الصفر = تحول الزخم.</t>
  </si>
  <si>
    <t>⭐ Tier B
Momentum</t>
  </si>
  <si>
    <t>موجبة متزايدة = شراء. تقاطع الصفر = تحول. الدايفرجنس مع السعر = انعكاس.</t>
  </si>
  <si>
    <t>⭐ Tier B
Awesome Oscillator</t>
  </si>
  <si>
    <t>تحول الهستوغرام من أحمر لأخضر فوق الصفر = شراء (Saucer). Twin Peaks Pattern = إشارة بيع كلاسيكية.</t>
  </si>
  <si>
    <t>OFF
────────
نافذة منفصلة + هستوغرام</t>
  </si>
  <si>
    <t>⭐ Tier B
Ultimate Oscillator</t>
  </si>
  <si>
    <t>زخم متعدد الفترات (7, 14, 28). شراء: قاع أعلى + Divergence + كسر آخر قمة.</t>
  </si>
  <si>
    <t>⭐ Tier B
TRIX</t>
  </si>
  <si>
    <t>تقاطع فوق الصفر = شراء. EMA ثلاثي يلغي الضوضاء. مؤشر تأكيد للاتجاه فقط.</t>
  </si>
  <si>
    <t>⭐ Tier B
Aroon Indicator + Aroon Oscillator</t>
  </si>
  <si>
    <t>Aroon Up &gt; 70 + Down &lt; 30 = ترند صاعد قوي. Aroon Oscillator &gt; 0 = شراء.</t>
  </si>
  <si>
    <t>⭐ Tier B
Vortex Indicator (VI)</t>
  </si>
  <si>
    <t>تقاطع +VI فوق -VI = شراء. مشابه لـ DMI لكن أكثر دقة في المتذبذبات.</t>
  </si>
  <si>
    <t>⭐ Tier C
Coppock Curve</t>
  </si>
  <si>
    <t>تقاطع فوق الصفر من قاع سالب = إشارة شراء استثمارية كلاسيكية. للأطر الأكبر (4H+) فقط.</t>
  </si>
  <si>
    <t>⭐ Tier B
Chande Momentum Oscillator</t>
  </si>
  <si>
    <t>&gt; +50 = ذروة شراء، &lt; -50 = ذروة بيع. تقاطع الصفر = تحول. الأفضل من RSI في الأسواق المتقلبة.</t>
  </si>
  <si>
    <t>⭐ Tier S
Bollinger Bands</t>
  </si>
  <si>
    <t>مؤشرات التذبذب والتقلب</t>
  </si>
  <si>
    <t>لمس الباند السفلي + شمعة انعكاسية = شراء. Squeeze (تقارب الباندات) = انفجار قادم.</t>
  </si>
  <si>
    <t>OFF
────────
رسم 3 خطوط على الشارت (Middle + Upper + Lower)</t>
  </si>
  <si>
    <t>⭐ Tier A
ATR - Average True Range</t>
  </si>
  <si>
    <t>ليس اتجاه — يقيس التذبذب. SL = 1.5 × ATR، TP = 3 × ATR. ATR منخفض = انفجار قادم.</t>
  </si>
  <si>
    <t>⭐ Tier B
Keltner Channels</t>
  </si>
  <si>
    <t>كسر القناة العلوية = اختراق صاعد قوي. أقوى من Bollinger في الترندات. Keltner داخل Bollinger = Squeeze حقيقي.</t>
  </si>
  <si>
    <t>OFF
────────
رسم 3 خطوط على الشارت</t>
  </si>
  <si>
    <t>⭐ Tier B
Donchian Channels</t>
  </si>
  <si>
    <t>كسر القناة العلوية (20 شمعة) = شراء كلاسيكي (Turtle Trading). ادخل عند 20-period، اخرج عند 10-period المعاكس.</t>
  </si>
  <si>
    <t>⭐ Tier B
Historical Volatility</t>
  </si>
  <si>
    <t>HV منخفض جدًا (في القاع المئوي 20%) = انفجار قادم بقوة. استعد لحركة كبيرة.</t>
  </si>
  <si>
    <t>⭐ Tier A
Choppiness Index</t>
  </si>
  <si>
    <t>&gt; 61.8 = جانبي (تجنّب). &lt; 38.2 = ترند قوي. فلتر سياق ذهبي: لا تأخذ إشارات إلا إذا CI &lt; 50.</t>
  </si>
  <si>
    <t>⭐ Tier C
Chaikin Volatility</t>
  </si>
  <si>
    <t>ارتفاع متسارع = توسع التذبذب (انعكاس وشيك). انخفاض = هدوء قبل العاصفة.</t>
  </si>
  <si>
    <t>⭐ Tier C
Mass Index</t>
  </si>
  <si>
    <t>ارتفاع فوق 27 ثم نزوله تحت 26.5 = Reversal Bulge = إشارة انعكاس قوية. للأطر الأكبر.</t>
  </si>
  <si>
    <t>⭐ Tier C
Volatility Index</t>
  </si>
  <si>
    <t>ارتفاع شديد = خوف = انعكاس محتمل. هدوء طويل = رضى = انفجار وشيك.</t>
  </si>
  <si>
    <t>⭐ Tier A
OBV - On Balance Volume</t>
  </si>
  <si>
    <t>مؤشرات الحجم والتدفق</t>
  </si>
  <si>
    <t>OBV صاعد + السعر صاعد = ترند شراء حقيقي. OBV هابط + السعر صاعد = Bearish Divergence = انعكاس وشيك.</t>
  </si>
  <si>
    <t>⭐ Tier A
MFI - Money Flow Index</t>
  </si>
  <si>
    <t>مثل RSI لكن بالحجم. &lt; 20 + بدء صعود = شراء قوي. الأقوى من RSI في الأسواق ذات الحجم الحقيقي.</t>
  </si>
  <si>
    <t>⭐ Tier B
Accumulation / Distribution</t>
  </si>
  <si>
    <t>A/D صاعد + السعر صاعد = تراكم حقيقي. A/D هابط + السعر صاعد = توزيع خفي (بيع وشيك).</t>
  </si>
  <si>
    <t>⭐ Tier B
Chaikin Money Flow</t>
  </si>
  <si>
    <t>&gt; +0.20 = ضغط شراء قوي. &lt; -0.20 = ضغط بيع. لا تأخذ شراء إذا CMF &lt; 0.</t>
  </si>
  <si>
    <t>⭐ Tier B
Chaikin Oscillator</t>
  </si>
  <si>
    <t>تقاطع فوق الصفر + ارتفاع السعر = شراء مدعوم. الدايفرجنس مع السعر = الإشارة الذهبية.</t>
  </si>
  <si>
    <t>⭐ Tier B
Klinger Oscillator</t>
  </si>
  <si>
    <t>تقاطع فوق Signal في منطقة سالبة = شراء طويل المدى. الأقوى للاتجاهات طويلة المدى.</t>
  </si>
  <si>
    <t>⭐ Tier B
Force Index</t>
  </si>
  <si>
    <t>موجبة قوية متزايدة = ضغط شراء. تقاطع الصفر = تحول قوة السوق. ادمجه مع EMA(13).</t>
  </si>
  <si>
    <t>⭐ Tier B
Ease of Movement</t>
  </si>
  <si>
    <t>إيجابية كبيرة = السعر يصعد بسهولة. أداة فلتر ممتازة للترندات.</t>
  </si>
  <si>
    <t>⭐ Tier C
Volume Oscillator</t>
  </si>
  <si>
    <t>&gt; 0 = حجم متزايد (تأكيد للحركة). &lt; 0 = حجم متناقص (إنذار ضعف).</t>
  </si>
  <si>
    <t>⭐ Tier C
Positive Volume Index (PVI)</t>
  </si>
  <si>
    <t>PVI أعلى من EMA(255) = الذكي يشتري في أيام زيادة الحجم.</t>
  </si>
  <si>
    <t>⭐ Tier C
Negative Volume Index (NVI)</t>
  </si>
  <si>
    <t>NVI فوق EMA(255) = الأموال الذكية تشتري بهدوء في أيام انخفاض الحجم.</t>
  </si>
  <si>
    <t>⭐ Tier S
VWAP (الأساسي)</t>
  </si>
  <si>
    <t>مؤشرات السلوك المؤسسي والأموال الذكية</t>
  </si>
  <si>
    <t>السعر فوق VWAP = المشترون يسيطرون. تحته = البائعون. الارتداد من VWAP في اتجاه الترند = أفضل دخول إعادة.</t>
  </si>
  <si>
    <t>OFF
────────
رسم خط VWAP على الشارت</t>
  </si>
  <si>
    <t>⭐ Tier A
Anchored VWAP</t>
  </si>
  <si>
    <t>VWAP مثبت من نقطة مهمة (قاع/قمة كبرى، حدث إخباري). الأقوى لكشف نوايا المؤسسات.</t>
  </si>
  <si>
    <t>OFF
────────
رسم خط Anchored VWAP من نقطة مختارة</t>
  </si>
  <si>
    <t>⭐ Tier S
VWAP with Standard Deviation Bands</t>
  </si>
  <si>
    <t>VWAP + 1σ و +2σ كمقاومات، -1σ و -2σ كدعوم. هذا VWAP المؤسسي الحقيقي.</t>
  </si>
  <si>
    <t>OFF
────────
رسم VWAP + Bands على الشارت</t>
  </si>
  <si>
    <t>⭐ Tier S
Ichimoku Cloud (Kinko Hyo)</t>
  </si>
  <si>
    <t>مؤشرات الأنظمة المتكاملة</t>
  </si>
  <si>
    <t>السعر فوق السحابة + Tenkan فوق Kijun + Chikou فوق السعر السابق = شراء قوي مكتمل. أقوى نظام تحليل متكامل — 5 إشارات في مؤشر واحد.</t>
  </si>
  <si>
    <t>OFF
────────
رسم السحابة Kumo + 5 خطوط Ichimoku</t>
  </si>
  <si>
    <t>⭐ Tier A
Bollinger %B + Bandwidth</t>
  </si>
  <si>
    <t>%B &gt; 1 = فوق العلوي. &lt; 0 = تحت السفلي. Bandwidth منخفض = Squeeze. الاتجاه من BW، الإشارة من %B.</t>
  </si>
  <si>
    <t>OFF
────────
نافذتان منفصلتان</t>
  </si>
  <si>
    <t>⭐ Tier C
McClellan Oscillator</t>
  </si>
  <si>
    <t>&gt; +100 = ضغط شراء عام. &lt; -100 = ضغط بيع. للأسهم — كفلتر سياق عام.</t>
  </si>
  <si>
    <t>⭐ Tier C
Arms Index (TRIN)</t>
  </si>
  <si>
    <t>&lt; 1 = ضغط شراء. &gt; 1 = ضغط بيع. القراءة المتطرفة = إشارة انعكاس وشيك.</t>
  </si>
  <si>
    <t>⭐ Tier C
Advance / Decline Line</t>
  </si>
  <si>
    <t>AD صاعد + السوق صاعد = صحة الترند. دايفرجنس = ضعف. للأسهم. في الفوركس: استخدم على سلة عملات (DXY مع الأصل).</t>
  </si>
  <si>
    <t>💧  جدول ٦ — تدفق الأوامر، البوك ماب، السيولة، وحجم التداول  —  الوزن 15٪ من التحليل الكامل</t>
  </si>
  <si>
    <t>3 أقسام: رصد سيولة وصفقات صناع السوق والحيتان والمؤسسات • حركة الأموال اللحظي بأسماء المؤسسات الحقيقية • أدوات تدفق الأوامر والبوك ماب التحليلية</t>
  </si>
  <si>
    <t>🐋  القسم الأول: رصد السيولة وصفقات صناع السوق والحيتان والمؤسسات (Whale Tracker)</t>
  </si>
  <si>
    <t>اسم الجهة/المؤسسة/المتداول</t>
  </si>
  <si>
    <t>صفقات ١٠ك+</t>
  </si>
  <si>
    <t>صفقات ١٠٠ك+</t>
  </si>
  <si>
    <t>صفقات ٥٠٠ك+</t>
  </si>
  <si>
    <t>صفقات ١م+</t>
  </si>
  <si>
    <t>مجموع سيولة الشراء</t>
  </si>
  <si>
    <t>مجموع سيولة البيع</t>
  </si>
  <si>
    <t>الاتجاه شراء/بيع</t>
  </si>
  <si>
    <t>البنوك المركزية الكبرى (Federal Reserve, ECB, BoJ, BoE, PBoC, SAMA, RBA, BoC, SNB)</t>
  </si>
  <si>
    <t>بنوك مركزية</t>
  </si>
  <si>
    <t>$0</t>
  </si>
  <si>
    <t>البنوك الاستثمارية الكبرى (Goldman Sachs, JP Morgan, Morgan Stanley, Citigroup, Deutsche Bank, UBS)</t>
  </si>
  <si>
    <t>بنوك استثمارية</t>
  </si>
  <si>
    <t>صناديق التحوط الكبرى (Bridgewater, Renaissance, Citadel, Two Sigma, Millennium, D.E. Shaw)</t>
  </si>
  <si>
    <t>صناديق تحوط</t>
  </si>
  <si>
    <t>شركات إدارة الأصول الكبرى (BlackRock, Vanguard, State Street, Fidelity, PIMCO)</t>
  </si>
  <si>
    <t>إدارة أصول</t>
  </si>
  <si>
    <t>صناديق السيادة (PIF السعودي، NBIM النرويجي، GIC السنغافوري، CIC الصيني، ADIA الإماراتي، KIA الكويتي)</t>
  </si>
  <si>
    <t>صناديق سيادة</t>
  </si>
  <si>
    <t>شركات الذهب الكبرى (Newmont, Barrick Gold, Anglo Gold Ashanti, Polyus, Kinross Gold)</t>
  </si>
  <si>
    <t>شركات ذهب</t>
  </si>
  <si>
    <t>شركات النفط العملاقة (Saudi Aramco, ExxonMobil, Shell, BP, Chevron, TotalEnergies, ConocoPhillips)</t>
  </si>
  <si>
    <t>شركات نفط</t>
  </si>
  <si>
    <t>صناع السوق في الفوركس (Citigroup, Deutsche Bank, UBS, HSBC, Barclays, BNP Paribas, RBS)</t>
  </si>
  <si>
    <t>صناع سوق</t>
  </si>
  <si>
    <t>شركات التأمين الكبرى (AIG, Allianz, AXA, Munich Re, Swiss Re, Berkshire Hathaway - Warren Buffett)</t>
  </si>
  <si>
    <t>شركات تأمين</t>
  </si>
  <si>
    <t>صناديق التقاعد الضخمة (CalPERS, GPIF الياباني، APG الهولندي، ABP الهولندي، KPA السويدي)</t>
  </si>
  <si>
    <t>صناديق تقاعد</t>
  </si>
  <si>
    <t>صناديق المؤشرات والذهب ETFs (SPDR Gold Shares, iShares Gold Trust, GLD, IAU, GDX, GDXJ)</t>
  </si>
  <si>
    <t>صناديق ETF</t>
  </si>
  <si>
    <t>الحسابات المؤسسية الكبرى (Institutional Accounts &gt; $100M)</t>
  </si>
  <si>
    <t>مؤسسات</t>
  </si>
  <si>
    <t>المتداولون الأفراد كبار رؤوس الأموال (HNW Individuals &gt; $10M)</t>
  </si>
  <si>
    <t>أفراد HNW</t>
  </si>
  <si>
    <t>خوارزميات التداول عالي التردد (HFT - High Frequency Trading Firms: Virtu, Jump, Tower)</t>
  </si>
  <si>
    <t>خوارزميات HFT</t>
  </si>
  <si>
    <t>شركات Prop Trading الكبرى (Jane Street, DRW, Optiver, Hudson River Trading)</t>
  </si>
  <si>
    <t>Prop Trading</t>
  </si>
  <si>
    <t>🧮  المجموع الكلي للسيولة</t>
  </si>
  <si>
    <t>💸  القسم الثاني: حركة الأموال اللحظي - دخول وخروج الأموال بأسماء المؤسسات الحقيقية (Real-Time Money Flow)</t>
  </si>
  <si>
    <t>التوقيت</t>
  </si>
  <si>
    <t>اسم الشركة/المؤسسة</t>
  </si>
  <si>
    <t>النوع</t>
  </si>
  <si>
    <t>الكمية بالدولار</t>
  </si>
  <si>
    <t>الكمية بالأونصة/البرميل/اللوت</t>
  </si>
  <si>
    <t>السعر التنفيذي</t>
  </si>
  <si>
    <t>حجم الصفقة</t>
  </si>
  <si>
    <t>التأثير على القرار</t>
  </si>
  <si>
    <t>BlackRock Inc.</t>
  </si>
  <si>
    <t>صفقة كبيرة</t>
  </si>
  <si>
    <t>$50M</t>
  </si>
  <si>
    <t>1,540 أونصة</t>
  </si>
  <si>
    <t>$2,050.50</t>
  </si>
  <si>
    <t>كبيرة جدًا</t>
  </si>
  <si>
    <t>شراء</t>
  </si>
  <si>
    <t>SEC 13F + COT</t>
  </si>
  <si>
    <t>Goldman Sachs Asset Mgmt</t>
  </si>
  <si>
    <t>صفقة متوسطة</t>
  </si>
  <si>
    <t>$30M</t>
  </si>
  <si>
    <t>924 أونصة</t>
  </si>
  <si>
    <t>$2,049.80</t>
  </si>
  <si>
    <t>كبيرة</t>
  </si>
  <si>
    <t>بيع</t>
  </si>
  <si>
    <t>COT Reports</t>
  </si>
  <si>
    <t>Saudi PIF (صندوق الاستثمارات العامة)</t>
  </si>
  <si>
    <t>صفقة عملاقة</t>
  </si>
  <si>
    <t>$200M</t>
  </si>
  <si>
    <t>6,162 أونصة</t>
  </si>
  <si>
    <t>$2,050.10</t>
  </si>
  <si>
    <t>عملاقة</t>
  </si>
  <si>
    <t>Bloomberg Terminal</t>
  </si>
  <si>
    <t>Newmont Mining Corp.</t>
  </si>
  <si>
    <t>$25M</t>
  </si>
  <si>
    <t>770 أونصة</t>
  </si>
  <si>
    <t>$2,050.30</t>
  </si>
  <si>
    <t>SEC Form 4</t>
  </si>
  <si>
    <t>Saudi Aramco</t>
  </si>
  <si>
    <t>$500M</t>
  </si>
  <si>
    <t>OPEC Reports</t>
  </si>
  <si>
    <t>Bridgewater Associates</t>
  </si>
  <si>
    <t>$75M</t>
  </si>
  <si>
    <t>2,310 أونصة</t>
  </si>
  <si>
    <t>$2,049.50</t>
  </si>
  <si>
    <t>13F + COT</t>
  </si>
  <si>
    <t>Berkshire Hathaway (Warren Buffett)</t>
  </si>
  <si>
    <t>$300M</t>
  </si>
  <si>
    <t>تنوع</t>
  </si>
  <si>
    <t>SEC 13F</t>
  </si>
  <si>
    <t>Federal Reserve (Open Market)</t>
  </si>
  <si>
    <t>تدخل سياسة نقدية</t>
  </si>
  <si>
    <t>$1B+</t>
  </si>
  <si>
    <t>عملاقة جدًا</t>
  </si>
  <si>
    <t>Fed Reports</t>
  </si>
  <si>
    <t>Vanguard Group</t>
  </si>
  <si>
    <t>$40M</t>
  </si>
  <si>
    <t>1,232 أونصة</t>
  </si>
  <si>
    <t>$2,050.00</t>
  </si>
  <si>
    <t>ETF Flows</t>
  </si>
  <si>
    <t>AIG (شركة التأمين)</t>
  </si>
  <si>
    <t>صفقة هيدج</t>
  </si>
  <si>
    <t>$80M</t>
  </si>
  <si>
    <t>2,463 أونصة</t>
  </si>
  <si>
    <t>$2,050.20</t>
  </si>
  <si>
    <t>Citadel LLC</t>
  </si>
  <si>
    <t>صفقة سريعة (HFT)</t>
  </si>
  <si>
    <t>$15M</t>
  </si>
  <si>
    <t>462 أونصة</t>
  </si>
  <si>
    <t>$2,050.15</t>
  </si>
  <si>
    <t>متوسطة</t>
  </si>
  <si>
    <t>Order Book</t>
  </si>
  <si>
    <t>GPIF (صندوق التقاعد الياباني)</t>
  </si>
  <si>
    <t>$120M</t>
  </si>
  <si>
    <t>3,694 أونصة</t>
  </si>
  <si>
    <t>$2,049.90</t>
  </si>
  <si>
    <t>Annual Reports + 13F</t>
  </si>
  <si>
    <t>📊  القسم الثالث: أدوات تدفق الأوامر والبوك ماب التحليلية (Order Flow &amp; Book Map Analytics)</t>
  </si>
  <si>
    <t>الأداة</t>
  </si>
  <si>
    <t>Tier</t>
  </si>
  <si>
    <t>الشرح والاستراتيجية</t>
  </si>
  <si>
    <t>نتيجة شاملة</t>
  </si>
  <si>
    <t>توافق الأطر</t>
  </si>
  <si>
    <t>الوزن</t>
  </si>
  <si>
    <t>الثقة</t>
  </si>
  <si>
    <t>القرار</t>
  </si>
  <si>
    <t>زر الرسم</t>
  </si>
  <si>
    <t>Cumulative Delta (المنقول من جدول 5)</t>
  </si>
  <si>
    <t>S</t>
  </si>
  <si>
    <t>تتبع الفرق التراكمي بين Aggressive Buys و Aggressive Sells لحظيًا. Delta صاعد + السعر صاعد = شراء حقيقي. Delta هابط + السعر صاعد = Absorption (انعكاس). أقوى إشارة انعكاس مبكرة.</t>
  </si>
  <si>
    <t>OFF
خط Cumulative Delta منفصل تحت الشارت</t>
  </si>
  <si>
    <t>Footprint Chart (Bid×Ask Volume)</t>
  </si>
  <si>
    <t>كل شمعة مفصّلة لخلايا تعرض حجم الشراء وحجم البيع عند كل سعر. Bullish Imbalance 3:1 = ضغط شراء. Stacked Imbalances = Order Block مؤسسي.</t>
  </si>
  <si>
    <t>OFF
نافذة Footprint منفصلة مع تلوين الخلايا</t>
  </si>
  <si>
    <t>DOM Level 2 (Depth of Market)</t>
  </si>
  <si>
    <t>شاشة الـ Order Book المباشرة. تعرض 10-20 مستوى Bid/Ask لحظيًا. أوامر شراء كبيرة معلّقة = دعم سيولة. اختفاء الأوامر بسرعة = Spoofing.</t>
  </si>
  <si>
    <t>OFF
نافذة DOM جانبية + Heatmap للسيولة</t>
  </si>
  <si>
    <t>Iceberg Orders Detector</t>
  </si>
  <si>
    <t>A</t>
  </si>
  <si>
    <t>كشف الأوامر المخفية للمؤسسات. تظهر تدريجيًا. تكرار صفقات بنفس الحجم عند نفس السعر = Iceberg. اتبع اتجاه Iceberg لأنه نية مؤسسية حقيقية.</t>
  </si>
  <si>
    <t>OFF
تمييز Iceberg Orders بعلامات على الشارت</t>
  </si>
  <si>
    <t>Absorption Detector</t>
  </si>
  <si>
    <t>حجم بيع كبير بدون انخفاض السعر = المؤسسات تمتص البيع = انعكاس صاعد قادم. حجم شراء كبير بدون ارتفاع = توزيع مؤسسي.</t>
  </si>
  <si>
    <t>OFF
إبراز شموع Absorption بإطار ملوّن</t>
  </si>
  <si>
    <t>Stop Hunt Zones Detector</t>
  </si>
  <si>
    <t>تحديد مناطق Stop Loss لصغار المتداولين فوق القمم وتحت القيعان. صناع السوق يهدفونها لجمع السيولة قبل الانعكاس.</t>
  </si>
  <si>
    <t>OFF
تظليل مناطق Stop Hunt + سهام Sweep</t>
  </si>
  <si>
    <t>ARC Technology (Break Detection)</t>
  </si>
  <si>
    <t>تحديد مناطق اختراق وكسر القمم والقيعان السابقة مع رصد فوليوم السيولة بالدولار. الكسر بفوليوم عالي = حقيقي. الكسر بفوليوم ضعيف = فخ.</t>
  </si>
  <si>
    <t>OFF
رسم تقنية ARC مع كتابة Volume بالدولار</t>
  </si>
  <si>
    <t>Bookmap BUMP/DUMP Detector</t>
  </si>
  <si>
    <t>رصد الصفقات الخفية (سعر السوق) التي لا تسجل في Order Book. BUMP = ضخ مفاجئ صاعد. DUMP = إغراق مفاجئ هابط.</t>
  </si>
  <si>
    <t>OFF
نافذة Bookmap منفصلة + علامات BUMP/DUMP</t>
  </si>
  <si>
    <t>Liquidity Voids Detector</t>
  </si>
  <si>
    <t>B</t>
  </si>
  <si>
    <t>كشف فجوات السيولة في Order Book. مناطق فارغة = حركة سريعة متوقعة. السعر يخترقها بسرعة بدون مقاومة.</t>
  </si>
  <si>
    <t>OFF
تمييز Liquidity Voids بمناطق ملوّنة</t>
  </si>
  <si>
    <t>Volume Climax Detector</t>
  </si>
  <si>
    <t>كشف القمم والقيعان عبر تطرف الحجم. حجم 3x+ المتوسط بعد ترند طويل = إنهاك. شمعة بحجم متطرف + Range صغير = توزيع/تجميع مكثف.</t>
  </si>
  <si>
    <t>OFF
إبراز شموع Volume Climax بسهام ملوّنة</t>
  </si>
  <si>
    <t>🎯  القرار النهائي لجدول التدفق والبوك ماب — مساهمة 15٪ في القرار النهائي للمنصة</t>
  </si>
  <si>
    <t>🎯  جدول ٧ — القرارات النهائية ومحرك التصويت الكلي للمنصة</t>
  </si>
  <si>
    <t>دمج كل الجداول (٢ + ٣ + ٤ + ٥ + ٦) → قرار التصويت النهائي بالإجماع → Buy Lion 🦁 / Sell Lion 🦁</t>
  </si>
  <si>
    <t>الجدول</t>
  </si>
  <si>
    <t>الوزن من ١٠٠٪</t>
  </si>
  <si>
    <t>النسبة والثقة بعد الدمج</t>
  </si>
  <si>
    <t>1D</t>
  </si>
  <si>
    <t>الاتجاه العام لليوم</t>
  </si>
  <si>
    <t>📰 جدول ٢ - التحليل الأساسي والتقويم الاقتصادي</t>
  </si>
  <si>
    <t>20٪</t>
  </si>
  <si>
    <t>كم من 20٪</t>
  </si>
  <si>
    <t>🛠️ جدول ٣ - التحليل الفني / الأدوات الرئيسية الأساسية</t>
  </si>
  <si>
    <t>30٪</t>
  </si>
  <si>
    <t>كم من 30٪</t>
  </si>
  <si>
    <t>🏛️ جدول ٤ - التحليل الفني / المدارس الكاملة (٤٨ مدرسة)</t>
  </si>
  <si>
    <t>25٪</t>
  </si>
  <si>
    <t>كم من 25٪</t>
  </si>
  <si>
    <t>📊 جدول ٥ - التحليل الفني / المؤشرات الفنية (٥٤ مؤشر)</t>
  </si>
  <si>
    <t>10٪</t>
  </si>
  <si>
    <t>كم من 10٪</t>
  </si>
  <si>
    <t>💧 جدول ٦ - تدفق الأوامر والبوك ماب والسيولة</t>
  </si>
  <si>
    <t>15٪</t>
  </si>
  <si>
    <t>كم من 15٪</t>
  </si>
  <si>
    <t>🧮  المجموع والدرجات النهائية</t>
  </si>
  <si>
    <t>١٠٠٪</t>
  </si>
  <si>
    <t>كم من ١٠٠٪</t>
  </si>
  <si>
    <t>—٪</t>
  </si>
  <si>
    <t>🦁  قرار التصويت النهائي بالإجماع  🦁</t>
  </si>
  <si>
    <t>🦁 🟢  Buy Lion — شراء الأسد</t>
  </si>
  <si>
    <t>🦁 🔴  Sell Lion — بيع الأسد</t>
  </si>
  <si>
    <t>📊  درجة الثقة النهائية: —٪  •  مستوى الإشارة: 👑 Crown ≥80٪ / 🟢 قوية ≥60٪ / 🟡 ضعيفة ≥30٪ / ⚪ لا إشارة &lt;30٪</t>
  </si>
  <si>
    <t>⚙️  عتبة الإشارة Buy/Sell Lion: ≥٧٥٪ (Confluence Score) + توافق التحليل الأساسي + عدم وجود حدث اقتصادي عالي التأثير في النافذة  •  تحت العتبة: إشارة قوية لكن البوت لا يدخل</t>
  </si>
  <si>
    <t>💼  جدول ٨ — خطة التداول والمخاطرة</t>
  </si>
  <si>
    <t>كل بند له زر تشغيل/إيقاف للرسم على الشارت — يتحدث لحظيًا مع نتائج التحليل والقرار النهائي</t>
  </si>
  <si>
    <t>البند</t>
  </si>
  <si>
    <t>القيمة</t>
  </si>
  <si>
    <t>الشرح / كيف يُحسب</t>
  </si>
  <si>
    <t>🎨 زر الرسم على الشارت</t>
  </si>
  <si>
    <t>رصيد المحفظة / رأس المال</t>
  </si>
  <si>
    <t>$10,000</t>
  </si>
  <si>
    <t>رأس المال في حساب التداول (من Exness/Capital.com)</t>
  </si>
  <si>
    <t>من الجدول ١ - يحددها المتداول من 1-10%</t>
  </si>
  <si>
    <t>$200</t>
  </si>
  <si>
    <t>تلقائي: رأس المال × نسبة المخاطرة</t>
  </si>
  <si>
    <t>الرافعة المالية</t>
  </si>
  <si>
    <t>1:500</t>
  </si>
  <si>
    <t>الرافعة المتاحة من البروكر</t>
  </si>
  <si>
    <t>حجم اللوت / العقد</t>
  </si>
  <si>
    <t>0.05</t>
  </si>
  <si>
    <t>محسوب تلقائيًا: مبلغ المخاطرة ÷ (Stop Loss × قيمة النقطة)</t>
  </si>
  <si>
    <t>الهامش المطلوب</t>
  </si>
  <si>
    <t>آلي بالذكاء الاصطناعي أو يدوي (Bot or Manual)</t>
  </si>
  <si>
    <t>الهامش المستخدم</t>
  </si>
  <si>
    <t>ما تستخدمه الصفقة المفتوحة فعليًا</t>
  </si>
  <si>
    <t>الهامش المتاح</t>
  </si>
  <si>
    <t>$9,800</t>
  </si>
  <si>
    <t>محسوب: رأس المال − الهامش المستخدم</t>
  </si>
  <si>
    <t>مستوى الهامش</t>
  </si>
  <si>
    <t>100%</t>
  </si>
  <si>
    <t>محسوب: (الإيكويتي ÷ الهامش المستخدم) × 100</t>
  </si>
  <si>
    <t>تحديد السوق المالي</t>
  </si>
  <si>
    <t>Forex / Commodities</t>
  </si>
  <si>
    <t>الفوركس أو السلع (الذهب/النفط)</t>
  </si>
  <si>
    <t>تحديد الأصل المالي</t>
  </si>
  <si>
    <t>من الجدول ١</t>
  </si>
  <si>
    <t>Bot / Manual</t>
  </si>
  <si>
    <t>آلي بالذكاء الاصطناعي أو يدوي</t>
  </si>
  <si>
    <t>تحديد الصفقة (شراء/بيع)</t>
  </si>
  <si>
    <t>Buy Lion 🦁</t>
  </si>
  <si>
    <t>من الجدول ٧ - القرار النهائي</t>
  </si>
  <si>
    <t>🎯 نقطة الدخول (السعر)</t>
  </si>
  <si>
    <t>السعر الحالي عند دخول الصفقة</t>
  </si>
  <si>
    <t>🟢 ON
────
سهم ذهبي + خط أفقي بسعر الدخول</t>
  </si>
  <si>
    <t>🎯 الهدف ريشيو ١ (TP1)</t>
  </si>
  <si>
    <t>$2,055.50 (1:1)</t>
  </si>
  <si>
    <t>أول مستوى لأخذ ربح جزئي (25% من الحجم)</t>
  </si>
  <si>
    <t>🟢 ON
────
خط أفقي أخضر فاتح + كتابة 'TP1 +1R'</t>
  </si>
  <si>
    <t>🎯 الهدف ريشيو ٢ (TP2)</t>
  </si>
  <si>
    <t>$2,060.50 (1:2)</t>
  </si>
  <si>
    <t>ثاني مستوى لأخذ ربح جزئي (50% من الحجم)</t>
  </si>
  <si>
    <t>🟢 ON
────
خط أفقي أخضر متوسط + 'TP2 +2R'</t>
  </si>
  <si>
    <t>🎯 الهدف ريشيو ٣ (TP3)</t>
  </si>
  <si>
    <t>$2,065.50 (1:3)</t>
  </si>
  <si>
    <t>ثالث مستوى لأخذ ربح جزئي (75% من الحجم)</t>
  </si>
  <si>
    <t>🟢 ON
────
خط أفقي أخضر قاني + 'TP3 +3R'</t>
  </si>
  <si>
    <t>🎯 الهدف ريشيو ٤ (TP4 / Final Exit)</t>
  </si>
  <si>
    <t>$2,070.50 (1:4)</t>
  </si>
  <si>
    <t>النقطة النهائية للخروج (100%)</t>
  </si>
  <si>
    <t>🟢 ON
────
خط أفقي أخضر داكن + 'TP4 +4R'</t>
  </si>
  <si>
    <t>🛑 نقطة وقف الخسارة (Stop Loss)</t>
  </si>
  <si>
    <t>$2,045.50</t>
  </si>
  <si>
    <t>تلقائي بناءً على ATR + المستويات الفنية</t>
  </si>
  <si>
    <t>🟢 ON
────
خط أفقي أحمر قاني + 'SL'</t>
  </si>
  <si>
    <t>⚠️ نقاط الفخاخ وسحب السيولة لصناع السوق</t>
  </si>
  <si>
    <t>$2,043.00 - $2,047.00</t>
  </si>
  <si>
    <t>مناطق BSL/SSL Liquidity Sweep</t>
  </si>
  <si>
    <t>🟢 ON
────
تظليل أصفر شفاف + علامة ⚠️</t>
  </si>
  <si>
    <t>📍 تعديل وقف الخسارة (Trailing Stop)</t>
  </si>
  <si>
    <t>تلقائي بعد كل ريشيو</t>
  </si>
  <si>
    <t>SL → Breakeven بعد TP1، ثم TP1 بعد TP2</t>
  </si>
  <si>
    <t>🟢 ON
────
خط متقطع متحرك تلقائيًا</t>
  </si>
  <si>
    <t>➕ منطقة التعزيز (Add to Position)</t>
  </si>
  <si>
    <t>عند Retest الناجح</t>
  </si>
  <si>
    <t>إضافة لصفقات رابحة (Pyramiding)</t>
  </si>
  <si>
    <t>OFF
────
علامة + زرقاء + منطقة مظللة</t>
  </si>
  <si>
    <t>📊 منطقة Order Block الرئيسي</t>
  </si>
  <si>
    <t>$2,048.00 - $2,051.00</t>
  </si>
  <si>
    <t>Bullish/Bearish OB من HTF</t>
  </si>
  <si>
    <t>OFF
────
مستطيل ملوّن + Volume بالدولار داخله</t>
  </si>
  <si>
    <t>📊 منطقة Supply/Demand Zone</t>
  </si>
  <si>
    <t>$2,047.50 - $2,049.00</t>
  </si>
  <si>
    <t>منطقة الطلب الطازجة</t>
  </si>
  <si>
    <t>OFF
────
مستطيل أخضر فاتح (Demand) أو أحمر فاتح (Supply)</t>
  </si>
  <si>
    <t>📐 مستويات Fibonacci التصحيح</t>
  </si>
  <si>
    <t>Golden Zone 0.618-0.786</t>
  </si>
  <si>
    <t>ترسم تلقائيًا من Swing الكبير</t>
  </si>
  <si>
    <t>🟢 ON
────
مستويات فيبو + تظليل Golden Zone</t>
  </si>
  <si>
    <t>📐 مستويات Fibonacci الامتداد (الأهداف)</t>
  </si>
  <si>
    <t>1.272, 1.618, 2.618</t>
  </si>
  <si>
    <t>أهداف ممتدة لكل ريشيو</t>
  </si>
  <si>
    <t>OFF
────
مستويات فيبو ممتدة + تمييز 1.618 ذهبي</t>
  </si>
  <si>
    <t>حساب البيب (Pip Value)</t>
  </si>
  <si>
    <t>$10 لكل لوت قياسي</t>
  </si>
  <si>
    <t>تلقائي حسب الأصل وحجم اللوت</t>
  </si>
  <si>
    <t>حساب الربح المتوقع (TP1-TP4)</t>
  </si>
  <si>
    <t>+$50 / +$100 / +$150 / +$200</t>
  </si>
  <si>
    <t>بناءً على البيب والريشيوهات</t>
  </si>
  <si>
    <t>حساب الخسارة المحتملة (Stop Loss)</t>
  </si>
  <si>
    <t>-$200 (2%)</t>
  </si>
  <si>
    <t>الحد الأقصى للخسارة إذا ضرب SL</t>
  </si>
  <si>
    <t>حساب العمولة (Commission/Spread/Swap)</t>
  </si>
  <si>
    <t>$5 (تقريبي)</t>
  </si>
  <si>
    <t>حسب منصة الوسيط (Exness/Capital.com)</t>
  </si>
  <si>
    <t>الأرباح التراكمية</t>
  </si>
  <si>
    <t>$0 (يحدث بعد كل صفقة)</t>
  </si>
  <si>
    <t>إجمالي الأرباح/الخسائر منذ بدء التشغيل</t>
  </si>
  <si>
    <t>معدل النجاح اليومي</t>
  </si>
  <si>
    <t>نسبة الصفقات الرابحة من إجمالي صفقات اليوم</t>
  </si>
  <si>
    <t>Risk:Reward الفعلي</t>
  </si>
  <si>
    <t>1:3 (متوسط)</t>
  </si>
  <si>
    <t>متوسط نسبة المخاطرة:الربح للصفقات المغلقة</t>
  </si>
  <si>
    <t>تقييم المحفظة اليومي (PDF تلقائي)</t>
  </si>
  <si>
    <t>ملف PDF يولّد آخر اليوم</t>
  </si>
  <si>
    <t>تقرير تفصيلي للصفقات + الأداء + الرسوم</t>
  </si>
  <si>
    <t>تقييم المحفظة الأسبوعي (PDF تلقائي)</t>
  </si>
  <si>
    <t>ملف PDF أسبوعي</t>
  </si>
  <si>
    <t>تقييم أسبوعي شامل + رسوم بيانية + مقارنات</t>
  </si>
  <si>
    <t>تقييم المحفظة الشهري (PDF تلقائي)</t>
  </si>
  <si>
    <t>ملف PDF شهري</t>
  </si>
  <si>
    <t>شامل + ضرائب الأرباح + الأداء العام + التوصيات</t>
  </si>
  <si>
    <t>🎨  ملاحظة: البنود ذات زر الرسم المُفعّل افتراضيًا (🟢 ON) هي الأساسية في خطة التداول: نقاط الدخول، TP1-TP4، Stop Loss، مناطق الفخاخ، Trailing Stop، Fibonacci التصحيح. البنود الأخرى للعرض البصري عند الحاجة فقط.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</si>
</sst>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%;[Red]\-0.0%;0%"/>
    <numFmt numFmtId="165" formatCode="0.000%"/>
    <numFmt numFmtId="166" formatCode="0.0%"/>
    <numFmt numFmtId="167" formatCode="\+0.000%;[Red]\-0.000%;0%"/>
  </numFmts>
  <fonts count="53">
    <font>
      <sz val="11"/>
      <color theme="1"/>
      <name val="Calibri"/>
      <family val="2"/>
      <charset val="1"/>
    </font>
    <font>
      <b/>
      <sz val="22"/>
      <color rgb="FFC9A227"/>
      <name val="Tajawal"/>
      <charset val="1"/>
    </font>
    <font>
      <b/>
      <sz val="12"/>
      <color rgb="FFE8C547"/>
      <name val="Tajawal"/>
      <charset val="1"/>
    </font>
    <font>
      <b/>
      <sz val="14"/>
      <color rgb="FF0A0B0E"/>
      <name val="Tajawal"/>
      <charset val="1"/>
    </font>
    <font>
      <i/>
      <sz val="11"/>
      <color rgb="FF0A0B0E"/>
      <name val="Tajawal"/>
      <charset val="1"/>
    </font>
    <font>
      <b/>
      <sz val="12"/>
      <color rgb="FFC9A227"/>
      <name val="Tajawal"/>
      <charset val="1"/>
    </font>
    <font>
      <b/>
      <sz val="12"/>
      <color rgb="FF8B6F1F"/>
      <name val="Tajawal"/>
      <charset val="1"/>
    </font>
    <font>
      <b/>
      <sz val="11"/>
      <color rgb="FF0A0B0E"/>
      <name val="Tajawal"/>
      <charset val="1"/>
    </font>
    <font>
      <sz val="10"/>
      <color rgb="FF0A0B0E"/>
      <name val="Tajawal"/>
      <charset val="1"/>
    </font>
    <font>
      <b/>
      <sz val="12"/>
      <color rgb="FF0A0B0E"/>
      <name val="Tajawal"/>
      <charset val="1"/>
    </font>
    <font>
      <b/>
      <sz val="16"/>
      <color rgb="FF0A0B0E"/>
      <name val="Tajawal"/>
      <charset val="1"/>
    </font>
    <font>
      <b/>
      <sz val="14"/>
      <color rgb="FFFFFFFF"/>
      <name val="Tajawal"/>
      <charset val="1"/>
    </font>
    <font>
      <i/>
      <sz val="10"/>
      <color rgb="FF0A0B0E"/>
      <name val="Tajawal"/>
      <charset val="1"/>
    </font>
    <font>
      <b/>
      <sz val="13"/>
      <color rgb="FFFFFFFF"/>
      <name val="Tajawal"/>
      <charset val="1"/>
    </font>
    <font>
      <b/>
      <sz val="10"/>
      <color rgb="FFC9A227"/>
      <name val="Tajawal"/>
      <charset val="1"/>
    </font>
    <font>
      <b/>
      <sz val="10"/>
      <color rgb="FF8B6F1F"/>
      <name val="Tajawal"/>
      <charset val="1"/>
    </font>
    <font>
      <sz val="9"/>
      <color rgb="FF0A0B0E"/>
      <name val="Tajawal"/>
      <charset val="1"/>
    </font>
    <font>
      <b/>
      <sz val="10"/>
      <color rgb="FF5A5A5A"/>
      <name val="Tajawal"/>
      <charset val="1"/>
    </font>
    <font>
      <b/>
      <sz val="9"/>
      <color rgb="FF5A5A5A"/>
      <name val="Tajawal"/>
      <charset val="1"/>
    </font>
    <font>
      <b/>
      <sz val="10"/>
      <name val="Tajawal"/>
      <charset val="1"/>
    </font>
    <font>
      <b/>
      <sz val="13"/>
      <color rgb="FFC9A227"/>
      <name val="Tajawal"/>
      <charset val="1"/>
    </font>
    <font>
      <b/>
      <sz val="11"/>
      <color rgb="FFFFFFFF"/>
      <name val="Tajawal"/>
      <charset val="1"/>
    </font>
    <font>
      <b/>
      <sz val="11"/>
      <name val="Tajawal"/>
      <charset val="1"/>
    </font>
    <font>
      <b/>
      <sz val="12"/>
      <name val="Tajawal"/>
      <charset val="1"/>
    </font>
    <font>
      <b/>
      <sz val="11"/>
      <color rgb="FFC9A227"/>
      <name val="Tajawal"/>
      <charset val="1"/>
    </font>
    <font>
      <b/>
      <sz val="14"/>
      <name val="Tajawal"/>
      <charset val="1"/>
    </font>
    <font>
      <b/>
      <sz val="10"/>
      <color rgb="FFFFFFFF"/>
      <name val="Tajawal"/>
      <charset val="1"/>
    </font>
    <font>
      <b/>
      <sz val="12"/>
      <color rgb="FF1F4E79"/>
      <name val="Tajawal"/>
      <charset val="1"/>
    </font>
    <font>
      <b/>
      <sz val="10"/>
      <color rgb="FF0A0B0E"/>
      <name val="Tajawal"/>
      <charset val="1"/>
    </font>
    <font>
      <b/>
      <sz val="11"/>
      <color rgb="FF5A5A5A"/>
      <name val="Tajawal"/>
      <charset val="1"/>
    </font>
    <font>
      <sz val="8"/>
      <color rgb="FF555555"/>
      <name val="Tajawal"/>
      <charset val="1"/>
    </font>
    <font>
      <b/>
      <sz val="12"/>
      <color rgb="FF5B2C82"/>
      <name val="Tajawal"/>
      <charset val="1"/>
    </font>
    <font>
      <b/>
      <sz val="12"/>
      <color rgb="FF8B0000"/>
      <name val="Tajawal"/>
      <charset val="1"/>
    </font>
    <font>
      <b/>
      <sz val="12"/>
      <color rgb="FF0E5E2C"/>
      <name val="Tajawal"/>
      <charset val="1"/>
    </font>
    <font>
      <b/>
      <sz val="12"/>
      <color rgb="FF0F4C5C"/>
      <name val="Tajawal"/>
      <charset val="1"/>
    </font>
    <font>
      <b/>
      <sz val="12"/>
      <color rgb="FFB5651D"/>
      <name val="Tajawal"/>
      <charset val="1"/>
    </font>
    <font>
      <b/>
      <sz val="11"/>
      <color rgb="FF0E7A2C"/>
      <name val="Tajawal"/>
      <charset val="1"/>
    </font>
    <font>
      <b/>
      <sz val="11"/>
      <color rgb="FFB0140C"/>
      <name val="Tajawal"/>
      <charset val="1"/>
    </font>
    <font>
      <b/>
      <sz val="11"/>
      <color rgb="FFE07B00"/>
      <name val="Tajawal"/>
      <charset val="1"/>
    </font>
    <font>
      <b/>
      <sz val="12"/>
      <color rgb="FF4A4A4A"/>
      <name val="Tajawal"/>
      <charset val="1"/>
    </font>
    <font>
      <b/>
      <sz val="12"/>
      <color rgb="FF2D5016"/>
      <name val="Tajawal"/>
      <charset val="1"/>
    </font>
    <font>
      <b/>
      <sz val="12"/>
      <color rgb="FF7B2D26"/>
      <name val="Tajawal"/>
      <charset val="1"/>
    </font>
    <font>
      <b/>
      <sz val="9"/>
      <color rgb="FF0A0B0E"/>
      <name val="Tajawal"/>
      <charset val="1"/>
    </font>
    <font>
      <b/>
      <sz val="9"/>
      <color rgb="FFFFFFFF"/>
      <name val="Tajawal"/>
      <charset val="1"/>
    </font>
    <font>
      <b/>
      <sz val="10"/>
      <color rgb="FF0E7A2C"/>
      <name val="Tajawal"/>
      <charset val="1"/>
    </font>
    <font>
      <b/>
      <sz val="10"/>
      <color rgb="FFB0140C"/>
      <name val="Tajawal"/>
      <charset val="1"/>
    </font>
    <font>
      <sz val="9"/>
      <color rgb="FF5A5A5A"/>
      <name val="Tajawal"/>
      <charset val="1"/>
    </font>
    <font>
      <b/>
      <sz val="11"/>
      <color rgb="FF8B6F1F"/>
      <name val="Tajawal"/>
      <charset val="1"/>
    </font>
    <font>
      <b/>
      <sz val="18"/>
      <color rgb="FFC9A227"/>
      <name val="Tajawal"/>
      <charset val="1"/>
    </font>
    <font>
      <b/>
      <sz val="20"/>
      <color rgb="FFFFFFFF"/>
      <name val="Tajawal"/>
      <charset val="1"/>
    </font>
    <font>
      <b/>
      <sz val="9"/>
      <color rgb="FF999999"/>
      <name val="Tajawal"/>
      <charset val="1"/>
    </font>
    <font>
      <b/>
      <sz val="9"/>
      <color rgb="FF0E7A2C"/>
      <name val="Tajawal"/>
      <charset val="1"/>
    </font>
    <font>
      <b/>
      <sz val="9"/>
      <color rgb="FF555555"/>
      <name val="Tajawal"/>
      <charset val="1"/>
    </font>
  </fonts>
  <fills count="31">
    <fill>
      <patternFill patternType="none"/>
    </fill>
    <fill>
      <patternFill patternType="gray125"/>
    </fill>
    <fill>
      <patternFill patternType="solid">
        <fgColor rgb="FF0A0B0E"/>
        <bgColor rgb="FF000000"/>
      </patternFill>
    </fill>
    <fill>
      <patternFill patternType="solid">
        <fgColor rgb="FF1A1A1A"/>
        <bgColor rgb="FF0A0B0E"/>
      </patternFill>
    </fill>
    <fill>
      <patternFill patternType="solid">
        <fgColor rgb="FFC9A227"/>
        <bgColor rgb="FFE8C547"/>
      </patternFill>
    </fill>
    <fill>
      <patternFill patternType="solid">
        <fgColor rgb="FFFFF6D9"/>
        <bgColor rgb="FFFFF3D6"/>
      </patternFill>
    </fill>
    <fill>
      <patternFill patternType="solid">
        <fgColor rgb="FFFFFFFF"/>
        <bgColor rgb="FFFFFEF7"/>
      </patternFill>
    </fill>
    <fill>
      <patternFill patternType="solid">
        <fgColor rgb="FFFFFEF7"/>
        <bgColor rgb="FFFFFFFF"/>
      </patternFill>
    </fill>
    <fill>
      <patternFill patternType="solid">
        <fgColor rgb="FF0E7A2C"/>
        <bgColor rgb="FF0E5E2C"/>
      </patternFill>
    </fill>
    <fill>
      <patternFill patternType="solid">
        <fgColor rgb="FFB0140C"/>
        <bgColor rgb="FF8B0000"/>
      </patternFill>
    </fill>
    <fill>
      <patternFill patternType="solid">
        <fgColor rgb="FF1E3A8A"/>
        <bgColor rgb="FF1F4E79"/>
      </patternFill>
    </fill>
    <fill>
      <patternFill patternType="solid">
        <fgColor rgb="FFEAE6D8"/>
        <bgColor rgb="FFEAEAEA"/>
      </patternFill>
    </fill>
    <fill>
      <patternFill patternType="solid">
        <fgColor rgb="FF5B2C82"/>
        <bgColor rgb="FF4A4A4A"/>
      </patternFill>
    </fill>
    <fill>
      <patternFill patternType="solid">
        <fgColor rgb="FF8B0000"/>
        <bgColor rgb="FFB0140C"/>
      </patternFill>
    </fill>
    <fill>
      <patternFill patternType="solid">
        <fgColor rgb="FF8B6F1F"/>
        <bgColor rgb="FFB5651D"/>
      </patternFill>
    </fill>
    <fill>
      <patternFill patternType="solid">
        <fgColor rgb="FFE8C547"/>
        <bgColor rgb="FFC9A227"/>
      </patternFill>
    </fill>
    <fill>
      <patternFill patternType="solid">
        <fgColor rgb="FFFFE9B3"/>
        <bgColor rgb="FFFFF3D6"/>
      </patternFill>
    </fill>
    <fill>
      <patternFill patternType="solid">
        <fgColor rgb="FF1F4E79"/>
        <bgColor rgb="FF0F4C5C"/>
      </patternFill>
    </fill>
    <fill>
      <patternFill patternType="solid">
        <fgColor rgb="FFEAEAEA"/>
        <bgColor rgb="FFF0F0F0"/>
      </patternFill>
    </fill>
    <fill>
      <patternFill patternType="solid">
        <fgColor rgb="FFFFF3D6"/>
        <bgColor rgb="FFFFF6D9"/>
      </patternFill>
    </fill>
    <fill>
      <patternFill patternType="solid">
        <fgColor rgb="FFF5F5F5"/>
        <bgColor rgb="FFF0F0F0"/>
      </patternFill>
    </fill>
    <fill>
      <patternFill patternType="solid">
        <fgColor rgb="FF0E5E2C"/>
        <bgColor rgb="FF0F4C5C"/>
      </patternFill>
    </fill>
    <fill>
      <patternFill patternType="solid">
        <fgColor rgb="FF0F4C5C"/>
        <bgColor rgb="FF1F4E79"/>
      </patternFill>
    </fill>
    <fill>
      <patternFill patternType="solid">
        <fgColor rgb="FFB5651D"/>
        <bgColor rgb="FF8B6F1F"/>
      </patternFill>
    </fill>
    <fill>
      <patternFill patternType="solid">
        <fgColor rgb="FFC9F0D3"/>
        <bgColor rgb="FFEAE6D8"/>
      </patternFill>
    </fill>
    <fill>
      <patternFill patternType="solid">
        <fgColor rgb="FFF7CDD1"/>
        <bgColor rgb="FFEAE6D8"/>
      </patternFill>
    </fill>
    <fill>
      <patternFill patternType="solid">
        <fgColor rgb="FFFAFAFA"/>
        <bgColor rgb="FFFFFEF7"/>
      </patternFill>
    </fill>
    <fill>
      <patternFill patternType="solid">
        <fgColor rgb="FF4A4A4A"/>
        <bgColor rgb="FF555555"/>
      </patternFill>
    </fill>
    <fill>
      <patternFill patternType="solid">
        <fgColor rgb="FF2D5016"/>
        <bgColor rgb="FF0E5E2C"/>
      </patternFill>
    </fill>
    <fill>
      <patternFill patternType="solid">
        <fgColor rgb="FF7B2D26"/>
        <bgColor rgb="FF993366"/>
      </patternFill>
    </fill>
    <fill>
      <patternFill patternType="solid">
        <fgColor rgb="FFF0F0F0"/>
        <bgColor rgb="FFF5F5F5"/>
      </patternFill>
    </fill>
  </fills>
  <borders count="6">
    <border>
      <left/>
      <right/>
      <top/>
      <bottom/>
      <diagonal/>
    </border>
    <border>
      <left style="thin">
        <color rgb="FF8B6F1F"/>
      </left>
      <right style="thin">
        <color rgb="FF8B6F1F"/>
      </right>
      <top style="thin">
        <color rgb="FF8B6F1F"/>
      </top>
      <bottom style="thin">
        <color rgb="FF8B6F1F"/>
      </bottom>
      <diagonal/>
    </border>
    <border>
      <left style="thin">
        <color rgb="FF8B6F1F"/>
      </left>
      <right/>
      <top style="thin">
        <color rgb="FF8B6F1F"/>
      </top>
      <bottom style="thin">
        <color rgb="FF8B6F1F"/>
      </bottom>
      <diagonal/>
    </border>
    <border>
      <left style="thin">
        <color rgb="FF8B6F1F"/>
      </left>
      <right style="thin">
        <color rgb="FF8B6F1F"/>
      </right>
      <top style="thin">
        <color rgb="FF8B6F1F"/>
      </top>
      <bottom/>
      <diagonal/>
    </border>
    <border>
      <left style="thin">
        <color rgb="FF8B6F1F"/>
      </left>
      <right style="thin">
        <color rgb="FF8B6F1F"/>
      </right>
      <top/>
      <bottom style="thin">
        <color rgb="FF8B6F1F"/>
      </bottom>
      <diagonal/>
    </border>
    <border>
      <left style="thin">
        <color rgb="FF8B6F1F"/>
      </left>
      <right style="thin">
        <color rgb="FF8B6F1F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36" fillId="24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right" vertical="center" wrapText="1"/>
    </xf>
    <xf numFmtId="0" fontId="17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right" vertical="center" wrapText="1"/>
    </xf>
    <xf numFmtId="0" fontId="22" fillId="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right" vertical="center" wrapText="1"/>
    </xf>
    <xf numFmtId="0" fontId="26" fillId="17" borderId="1" xfId="0" applyFont="1" applyFill="1" applyBorder="1" applyAlignment="1">
      <alignment horizontal="center" vertical="center" wrapText="1"/>
    </xf>
    <xf numFmtId="164" fontId="28" fillId="6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6" fontId="19" fillId="6" borderId="1" xfId="0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 wrapText="1"/>
    </xf>
    <xf numFmtId="164" fontId="28" fillId="7" borderId="1" xfId="0" applyNumberFormat="1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right" vertical="center" wrapText="1"/>
    </xf>
    <xf numFmtId="0" fontId="31" fillId="5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right" vertical="center" wrapText="1"/>
    </xf>
    <xf numFmtId="0" fontId="32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center" vertical="center" wrapText="1"/>
    </xf>
    <xf numFmtId="165" fontId="36" fillId="6" borderId="1" xfId="0" applyNumberFormat="1" applyFont="1" applyFill="1" applyBorder="1" applyAlignment="1">
      <alignment horizontal="center" vertical="center"/>
    </xf>
    <xf numFmtId="165" fontId="37" fillId="6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66" fontId="38" fillId="6" borderId="1" xfId="0" applyNumberFormat="1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right" vertical="center" wrapText="1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right" vertical="center" wrapText="1"/>
    </xf>
    <xf numFmtId="0" fontId="43" fillId="10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5" fillId="25" borderId="1" xfId="0" applyFont="1" applyFill="1" applyBorder="1" applyAlignment="1">
      <alignment horizontal="center" vertical="center"/>
    </xf>
    <xf numFmtId="0" fontId="46" fillId="11" borderId="1" xfId="0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right" vertical="center" wrapText="1"/>
    </xf>
    <xf numFmtId="0" fontId="2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right" vertical="center" wrapText="1"/>
    </xf>
    <xf numFmtId="0" fontId="28" fillId="5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right" vertical="center" wrapText="1"/>
    </xf>
    <xf numFmtId="0" fontId="47" fillId="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50" fillId="30" borderId="1" xfId="0" applyFont="1" applyFill="1" applyBorder="1" applyAlignment="1">
      <alignment horizontal="center" vertical="center" wrapText="1"/>
    </xf>
    <xf numFmtId="0" fontId="51" fillId="24" borderId="1" xfId="0" applyFont="1" applyFill="1" applyBorder="1" applyAlignment="1">
      <alignment horizontal="center" vertical="center" wrapText="1"/>
    </xf>
    <xf numFmtId="0" fontId="52" fillId="1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26" fillId="22" borderId="3" xfId="0" applyFont="1" applyFill="1" applyBorder="1" applyAlignment="1">
      <alignment horizontal="center" vertical="center" wrapText="1"/>
    </xf>
    <xf numFmtId="0" fontId="26" fillId="22" borderId="4" xfId="0" applyFont="1" applyFill="1" applyBorder="1" applyAlignment="1">
      <alignment horizontal="center" vertical="center" wrapText="1"/>
    </xf>
    <xf numFmtId="0" fontId="26" fillId="17" borderId="3" xfId="0" applyFont="1" applyFill="1" applyBorder="1" applyAlignment="1">
      <alignment horizontal="center" vertical="center" wrapText="1"/>
    </xf>
    <xf numFmtId="0" fontId="26" fillId="17" borderId="5" xfId="0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horizontal="center" vertical="center" wrapText="1"/>
    </xf>
    <xf numFmtId="0" fontId="26" fillId="21" borderId="3" xfId="0" applyFont="1" applyFill="1" applyBorder="1" applyAlignment="1">
      <alignment horizontal="center" vertical="center" wrapText="1"/>
    </xf>
    <xf numFmtId="0" fontId="26" fillId="21" borderId="5" xfId="0" applyFont="1" applyFill="1" applyBorder="1" applyAlignment="1">
      <alignment horizontal="center" vertical="center" wrapText="1"/>
    </xf>
    <xf numFmtId="0" fontId="26" fillId="21" borderId="4" xfId="0" applyFont="1" applyFill="1" applyBorder="1" applyAlignment="1">
      <alignment horizontal="center" vertical="center" wrapText="1"/>
    </xf>
    <xf numFmtId="0" fontId="26" fillId="12" borderId="3" xfId="0" applyFont="1" applyFill="1" applyBorder="1" applyAlignment="1">
      <alignment horizontal="center" vertical="center" wrapText="1"/>
    </xf>
    <xf numFmtId="0" fontId="26" fillId="12" borderId="5" xfId="0" applyFont="1" applyFill="1" applyBorder="1" applyAlignment="1">
      <alignment horizontal="center" vertical="center" wrapText="1"/>
    </xf>
    <xf numFmtId="0" fontId="26" fillId="12" borderId="4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36" fillId="24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horizontal="center" vertical="center" wrapText="1"/>
    </xf>
    <xf numFmtId="0" fontId="26" fillId="13" borderId="4" xfId="0" applyFont="1" applyFill="1" applyBorder="1" applyAlignment="1">
      <alignment horizontal="center" vertical="center" wrapText="1"/>
    </xf>
    <xf numFmtId="0" fontId="26" fillId="22" borderId="5" xfId="0" applyFont="1" applyFill="1" applyBorder="1" applyAlignment="1">
      <alignment horizontal="center" vertical="center" wrapText="1"/>
    </xf>
    <xf numFmtId="0" fontId="26" fillId="23" borderId="3" xfId="0" applyFont="1" applyFill="1" applyBorder="1" applyAlignment="1">
      <alignment horizontal="center" vertical="center" wrapText="1"/>
    </xf>
    <xf numFmtId="0" fontId="26" fillId="23" borderId="5" xfId="0" applyFont="1" applyFill="1" applyBorder="1" applyAlignment="1">
      <alignment horizontal="center" vertical="center" wrapText="1"/>
    </xf>
    <xf numFmtId="0" fontId="26" fillId="23" borderId="4" xfId="0" applyFont="1" applyFill="1" applyBorder="1" applyAlignment="1">
      <alignment horizontal="center" vertical="center" wrapText="1"/>
    </xf>
    <xf numFmtId="0" fontId="26" fillId="27" borderId="3" xfId="0" applyFont="1" applyFill="1" applyBorder="1" applyAlignment="1">
      <alignment horizontal="center" vertical="center" wrapText="1"/>
    </xf>
    <xf numFmtId="0" fontId="26" fillId="27" borderId="5" xfId="0" applyFont="1" applyFill="1" applyBorder="1" applyAlignment="1">
      <alignment horizontal="center" vertical="center" wrapText="1"/>
    </xf>
    <xf numFmtId="0" fontId="26" fillId="27" borderId="4" xfId="0" applyFont="1" applyFill="1" applyBorder="1" applyAlignment="1">
      <alignment horizontal="center" vertical="center" wrapText="1"/>
    </xf>
    <xf numFmtId="0" fontId="26" fillId="28" borderId="3" xfId="0" applyFont="1" applyFill="1" applyBorder="1" applyAlignment="1">
      <alignment horizontal="center" vertical="center" wrapText="1"/>
    </xf>
    <xf numFmtId="0" fontId="26" fillId="28" borderId="5" xfId="0" applyFont="1" applyFill="1" applyBorder="1" applyAlignment="1">
      <alignment horizontal="center" vertical="center" wrapText="1"/>
    </xf>
    <xf numFmtId="0" fontId="26" fillId="28" borderId="4" xfId="0" applyFont="1" applyFill="1" applyBorder="1" applyAlignment="1">
      <alignment horizontal="center" vertical="center" wrapText="1"/>
    </xf>
    <xf numFmtId="0" fontId="26" fillId="29" borderId="3" xfId="0" applyFont="1" applyFill="1" applyBorder="1" applyAlignment="1">
      <alignment horizontal="center" vertical="center" wrapText="1"/>
    </xf>
    <xf numFmtId="0" fontId="26" fillId="29" borderId="5" xfId="0" applyFont="1" applyFill="1" applyBorder="1" applyAlignment="1">
      <alignment horizontal="center" vertical="center" wrapText="1"/>
    </xf>
    <xf numFmtId="0" fontId="26" fillId="29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48" fillId="2" borderId="2" xfId="0" applyFont="1" applyFill="1" applyBorder="1" applyAlignment="1">
      <alignment horizontal="center" vertical="center"/>
    </xf>
    <xf numFmtId="0" fontId="49" fillId="8" borderId="2" xfId="0" applyFont="1" applyFill="1" applyBorder="1" applyAlignment="1">
      <alignment horizontal="center" vertical="center"/>
    </xf>
    <xf numFmtId="0" fontId="49" fillId="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4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4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2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2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5A5A5A"/>
        <name val="Tajawal"/>
        <charset val="1"/>
      </font>
      <fill>
        <patternFill>
          <bgColor rgb="FFEAE6D8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4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4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2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2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5A5A5A"/>
        <name val="Tajawal"/>
        <charset val="1"/>
      </font>
      <fill>
        <patternFill>
          <bgColor rgb="FFEAE6D8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4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4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2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2"/>
        <color rgb="FF0E7A2C"/>
        <name val="Tajawal"/>
        <charset val="1"/>
      </font>
      <fill>
        <patternFill>
          <bgColor rgb="FFC9F0D3"/>
        </patternFill>
      </fill>
    </dxf>
    <dxf>
      <font>
        <b/>
        <sz val="10"/>
        <color rgb="FF5A5A5A"/>
        <name val="Tajawal"/>
        <charset val="1"/>
      </font>
      <fill>
        <patternFill>
          <bgColor rgb="FFEAE6D8"/>
        </patternFill>
      </fill>
    </dxf>
    <dxf>
      <font>
        <b/>
        <sz val="10"/>
        <color rgb="FFB0140C"/>
        <name val="Tajawal"/>
        <charset val="1"/>
      </font>
      <fill>
        <patternFill>
          <bgColor rgb="FFF7CDD1"/>
        </patternFill>
      </fill>
    </dxf>
    <dxf>
      <font>
        <b/>
        <sz val="10"/>
        <color rgb="FF0E7A2C"/>
        <name val="Tajawal"/>
        <charset val="1"/>
      </font>
      <fill>
        <patternFill>
          <bgColor rgb="FFC9F0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EF7"/>
      <rgbColor rgb="FFFF00FF"/>
      <rgbColor rgb="FF00FFFF"/>
      <rgbColor rgb="FF8B0000"/>
      <rgbColor rgb="FF0E7A2C"/>
      <rgbColor rgb="FF0A0B0E"/>
      <rgbColor rgb="FF8B6F1F"/>
      <rgbColor rgb="FF800080"/>
      <rgbColor rgb="FF0E5E2C"/>
      <rgbColor rgb="FFEAEAEA"/>
      <rgbColor rgb="FF555555"/>
      <rgbColor rgb="FF9999FF"/>
      <rgbColor rgb="FFB5651D"/>
      <rgbColor rgb="FFFFF6D9"/>
      <rgbColor rgb="FFF0F0F0"/>
      <rgbColor rgb="FF5B2C82"/>
      <rgbColor rgb="FFFF8080"/>
      <rgbColor rgb="FF1F4E79"/>
      <rgbColor rgb="FFEAE6D8"/>
      <rgbColor rgb="FF000080"/>
      <rgbColor rgb="FFFF00FF"/>
      <rgbColor rgb="FFFFFF00"/>
      <rgbColor rgb="FF00FFFF"/>
      <rgbColor rgb="FF800080"/>
      <rgbColor rgb="FFB0140C"/>
      <rgbColor rgb="FF008080"/>
      <rgbColor rgb="FF0000FF"/>
      <rgbColor rgb="FF00CCFF"/>
      <rgbColor rgb="FFF5F5F5"/>
      <rgbColor rgb="FFC9F0D3"/>
      <rgbColor rgb="FFFFE9B3"/>
      <rgbColor rgb="FFFAFAFA"/>
      <rgbColor rgb="FFFFF3D6"/>
      <rgbColor rgb="FFCC99FF"/>
      <rgbColor rgb="FFF7CDD1"/>
      <rgbColor rgb="FF3366FF"/>
      <rgbColor rgb="FF33CCCC"/>
      <rgbColor rgb="FF99CC00"/>
      <rgbColor rgb="FFE8C547"/>
      <rgbColor rgb="FFC9A227"/>
      <rgbColor rgb="FFE07B00"/>
      <rgbColor rgb="FF5A5A5A"/>
      <rgbColor rgb="FF999999"/>
      <rgbColor rgb="FF0F4C5C"/>
      <rgbColor rgb="FF339966"/>
      <rgbColor rgb="FF1A1A1A"/>
      <rgbColor rgb="FF2D5016"/>
      <rgbColor rgb="FF7B2D26"/>
      <rgbColor rgb="FF993366"/>
      <rgbColor rgb="FF1E3A8A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rightToLeft="1" zoomScaleNormal="100" workbookViewId="0">
      <selection activeCell="D12" sqref="D12"/>
    </sheetView>
  </sheetViews>
  <sheetFormatPr baseColWidth="10" defaultColWidth="8.6640625" defaultRowHeight="15"/>
  <cols>
    <col min="1" max="1" width="4" customWidth="1"/>
    <col min="2" max="2" width="32" customWidth="1"/>
    <col min="3" max="3" width="68" customWidth="1"/>
    <col min="4" max="4" width="28" customWidth="1"/>
  </cols>
  <sheetData>
    <row r="1" spans="1:4" ht="49.5" customHeight="1">
      <c r="A1" s="80" t="s">
        <v>0</v>
      </c>
      <c r="B1" s="80"/>
      <c r="C1" s="80"/>
      <c r="D1" s="80"/>
    </row>
    <row r="2" spans="1:4" ht="25.5" customHeight="1">
      <c r="A2" s="81" t="s">
        <v>1</v>
      </c>
      <c r="B2" s="81"/>
      <c r="C2" s="81"/>
      <c r="D2" s="81"/>
    </row>
    <row r="3" spans="1:4" ht="30" customHeight="1">
      <c r="A3" s="86" t="s">
        <v>2</v>
      </c>
      <c r="B3" s="86"/>
      <c r="C3" s="86"/>
      <c r="D3" s="86"/>
    </row>
    <row r="4" spans="1:4" ht="24.75" customHeight="1">
      <c r="A4" s="87" t="s">
        <v>3</v>
      </c>
      <c r="B4" s="87"/>
      <c r="C4" s="87"/>
      <c r="D4" s="87"/>
    </row>
    <row r="6" spans="1:4" ht="36" customHeight="1">
      <c r="A6" s="7" t="s">
        <v>4</v>
      </c>
      <c r="B6" s="7" t="s">
        <v>5</v>
      </c>
      <c r="C6" s="7" t="s">
        <v>6</v>
      </c>
      <c r="D6" s="7" t="s">
        <v>7</v>
      </c>
    </row>
    <row r="7" spans="1:4" ht="69.75" customHeight="1">
      <c r="A7" s="8">
        <v>1</v>
      </c>
      <c r="B7" s="9" t="s">
        <v>8</v>
      </c>
      <c r="C7" s="10" t="s">
        <v>9</v>
      </c>
      <c r="D7" s="11" t="s">
        <v>10</v>
      </c>
    </row>
    <row r="8" spans="1:4" ht="69.75" customHeight="1">
      <c r="A8" s="8">
        <v>2</v>
      </c>
      <c r="B8" s="9" t="s">
        <v>11</v>
      </c>
      <c r="C8" s="10" t="s">
        <v>12</v>
      </c>
      <c r="D8" s="11" t="s">
        <v>13</v>
      </c>
    </row>
    <row r="9" spans="1:4" ht="69.75" customHeight="1">
      <c r="A9" s="8">
        <v>3</v>
      </c>
      <c r="B9" s="9" t="s">
        <v>14</v>
      </c>
      <c r="C9" s="10" t="s">
        <v>15</v>
      </c>
      <c r="D9" s="11" t="s">
        <v>16</v>
      </c>
    </row>
    <row r="10" spans="1:4" ht="69.75" customHeight="1">
      <c r="A10" s="8">
        <v>4</v>
      </c>
      <c r="B10" s="9" t="s">
        <v>17</v>
      </c>
      <c r="C10" s="10" t="s">
        <v>18</v>
      </c>
      <c r="D10" s="11" t="s">
        <v>19</v>
      </c>
    </row>
    <row r="11" spans="1:4" ht="120" customHeight="1">
      <c r="A11" s="8">
        <v>5</v>
      </c>
      <c r="B11" s="9" t="s">
        <v>20</v>
      </c>
      <c r="C11" s="10" t="s">
        <v>21</v>
      </c>
      <c r="D11" s="11" t="s">
        <v>22</v>
      </c>
    </row>
    <row r="12" spans="1:4" ht="69.75" customHeight="1">
      <c r="A12" s="8">
        <v>6</v>
      </c>
      <c r="B12" s="9" t="s">
        <v>23</v>
      </c>
      <c r="C12" s="10" t="s">
        <v>24</v>
      </c>
      <c r="D12" s="11" t="s">
        <v>25</v>
      </c>
    </row>
    <row r="14" spans="1:4" ht="54.75" customHeight="1">
      <c r="A14" s="88" t="s">
        <v>26</v>
      </c>
      <c r="B14" s="88"/>
      <c r="C14" s="12" t="s">
        <v>27</v>
      </c>
      <c r="D14" s="13" t="s">
        <v>28</v>
      </c>
    </row>
    <row r="15" spans="1:4" ht="34.5" customHeight="1">
      <c r="A15" s="85" t="s">
        <v>29</v>
      </c>
      <c r="B15" s="85"/>
      <c r="C15" s="85"/>
      <c r="D15" s="85"/>
    </row>
  </sheetData>
  <mergeCells count="6">
    <mergeCell ref="A15:D15"/>
    <mergeCell ref="A1:D1"/>
    <mergeCell ref="A2:D2"/>
    <mergeCell ref="A3:D3"/>
    <mergeCell ref="A4:D4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3"/>
  <sheetViews>
    <sheetView showGridLines="0" rightToLeft="1" zoomScaleNormal="100" workbookViewId="0">
      <pane xSplit="2" ySplit="6" topLeftCell="C12" activePane="bottomRight" state="frozen"/>
      <selection pane="topRight" activeCell="C1" sqref="C1"/>
      <selection pane="bottomLeft" activeCell="A79" sqref="A79"/>
      <selection pane="bottomRight" activeCell="C47" sqref="C47"/>
    </sheetView>
  </sheetViews>
  <sheetFormatPr baseColWidth="10" defaultColWidth="8.6640625" defaultRowHeight="15"/>
  <cols>
    <col min="1" max="1" width="4" customWidth="1"/>
    <col min="2" max="2" width="13" customWidth="1"/>
    <col min="3" max="3" width="35" customWidth="1"/>
    <col min="4" max="5" width="13" customWidth="1"/>
    <col min="6" max="8" width="11" customWidth="1"/>
    <col min="9" max="9" width="42" customWidth="1"/>
    <col min="10" max="10" width="13" customWidth="1"/>
    <col min="11" max="16" width="9" customWidth="1"/>
    <col min="17" max="17" width="14" customWidth="1"/>
    <col min="18" max="18" width="13" customWidth="1"/>
  </cols>
  <sheetData>
    <row r="1" spans="1:18" ht="49.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 ht="25.5" customHeight="1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ht="30" customHeight="1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 ht="37.5" customHeight="1">
      <c r="A4" s="87" t="s">
        <v>31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  <row r="6" spans="1:18" ht="30" customHeight="1">
      <c r="A6" s="97" t="s">
        <v>32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</row>
    <row r="7" spans="1:18" ht="49.5" customHeight="1">
      <c r="A7" s="14" t="s">
        <v>4</v>
      </c>
      <c r="B7" s="14" t="s">
        <v>33</v>
      </c>
      <c r="C7" s="14" t="s">
        <v>34</v>
      </c>
      <c r="D7" s="14" t="s">
        <v>35</v>
      </c>
      <c r="E7" s="14" t="s">
        <v>36</v>
      </c>
      <c r="F7" s="14" t="s">
        <v>37</v>
      </c>
      <c r="G7" s="14" t="s">
        <v>38</v>
      </c>
      <c r="H7" s="14" t="s">
        <v>39</v>
      </c>
      <c r="I7" s="14" t="s">
        <v>40</v>
      </c>
      <c r="J7" s="14" t="s">
        <v>41</v>
      </c>
      <c r="K7" s="14" t="s">
        <v>42</v>
      </c>
      <c r="L7" s="14" t="s">
        <v>43</v>
      </c>
      <c r="M7" s="14" t="s">
        <v>19</v>
      </c>
      <c r="N7" s="14" t="s">
        <v>44</v>
      </c>
      <c r="O7" s="14" t="s">
        <v>45</v>
      </c>
      <c r="P7" s="14" t="s">
        <v>46</v>
      </c>
      <c r="Q7" s="14" t="s">
        <v>47</v>
      </c>
      <c r="R7" s="14" t="s">
        <v>48</v>
      </c>
    </row>
    <row r="8" spans="1:18" ht="37.5" customHeight="1">
      <c r="A8" s="15">
        <v>1</v>
      </c>
      <c r="B8" s="16" t="s">
        <v>49</v>
      </c>
      <c r="C8" s="17" t="s">
        <v>50</v>
      </c>
      <c r="D8" s="16" t="s">
        <v>51</v>
      </c>
      <c r="E8" s="16" t="s">
        <v>52</v>
      </c>
      <c r="F8" s="16" t="s">
        <v>53</v>
      </c>
      <c r="G8" s="16" t="s">
        <v>53</v>
      </c>
      <c r="H8" s="16" t="s">
        <v>53</v>
      </c>
      <c r="I8" s="17" t="s">
        <v>54</v>
      </c>
      <c r="J8" s="18" t="s">
        <v>55</v>
      </c>
      <c r="K8" s="19" t="s">
        <v>56</v>
      </c>
      <c r="L8" s="19" t="s">
        <v>56</v>
      </c>
      <c r="M8" s="19" t="s">
        <v>56</v>
      </c>
      <c r="N8" s="19" t="s">
        <v>56</v>
      </c>
      <c r="O8" s="19" t="s">
        <v>56</v>
      </c>
      <c r="P8" s="19" t="s">
        <v>56</v>
      </c>
      <c r="Q8" s="20" t="s">
        <v>53</v>
      </c>
      <c r="R8" s="20" t="s">
        <v>53</v>
      </c>
    </row>
    <row r="9" spans="1:18" ht="37.5" customHeight="1">
      <c r="A9" s="15">
        <v>2</v>
      </c>
      <c r="B9" s="21" t="s">
        <v>49</v>
      </c>
      <c r="C9" s="22" t="s">
        <v>57</v>
      </c>
      <c r="D9" s="21" t="s">
        <v>58</v>
      </c>
      <c r="E9" s="21" t="s">
        <v>58</v>
      </c>
      <c r="F9" s="21" t="s">
        <v>53</v>
      </c>
      <c r="G9" s="21" t="s">
        <v>53</v>
      </c>
      <c r="H9" s="21" t="s">
        <v>53</v>
      </c>
      <c r="I9" s="22" t="s">
        <v>54</v>
      </c>
      <c r="J9" s="18" t="s">
        <v>55</v>
      </c>
      <c r="K9" s="19" t="s">
        <v>56</v>
      </c>
      <c r="L9" s="19" t="s">
        <v>56</v>
      </c>
      <c r="M9" s="19" t="s">
        <v>56</v>
      </c>
      <c r="N9" s="19" t="s">
        <v>56</v>
      </c>
      <c r="O9" s="19" t="s">
        <v>56</v>
      </c>
      <c r="P9" s="19" t="s">
        <v>56</v>
      </c>
      <c r="Q9" s="20" t="s">
        <v>53</v>
      </c>
      <c r="R9" s="20" t="s">
        <v>53</v>
      </c>
    </row>
    <row r="10" spans="1:18" ht="37.5" customHeight="1">
      <c r="A10" s="15">
        <v>3</v>
      </c>
      <c r="B10" s="16" t="s">
        <v>49</v>
      </c>
      <c r="C10" s="17" t="s">
        <v>59</v>
      </c>
      <c r="D10" s="16" t="s">
        <v>60</v>
      </c>
      <c r="E10" s="16" t="s">
        <v>60</v>
      </c>
      <c r="F10" s="16" t="s">
        <v>53</v>
      </c>
      <c r="G10" s="16" t="s">
        <v>53</v>
      </c>
      <c r="H10" s="16" t="s">
        <v>53</v>
      </c>
      <c r="I10" s="17" t="s">
        <v>54</v>
      </c>
      <c r="J10" s="18" t="s">
        <v>55</v>
      </c>
      <c r="K10" s="19" t="s">
        <v>56</v>
      </c>
      <c r="L10" s="19" t="s">
        <v>56</v>
      </c>
      <c r="M10" s="19" t="s">
        <v>56</v>
      </c>
      <c r="N10" s="19" t="s">
        <v>56</v>
      </c>
      <c r="O10" s="19" t="s">
        <v>56</v>
      </c>
      <c r="P10" s="19" t="s">
        <v>56</v>
      </c>
      <c r="Q10" s="20" t="s">
        <v>53</v>
      </c>
      <c r="R10" s="20" t="s">
        <v>53</v>
      </c>
    </row>
    <row r="11" spans="1:18" ht="37.5" customHeight="1">
      <c r="A11" s="15">
        <v>4</v>
      </c>
      <c r="B11" s="21" t="s">
        <v>61</v>
      </c>
      <c r="C11" s="22" t="s">
        <v>62</v>
      </c>
      <c r="D11" s="21" t="s">
        <v>63</v>
      </c>
      <c r="E11" s="21" t="s">
        <v>64</v>
      </c>
      <c r="F11" s="21" t="s">
        <v>53</v>
      </c>
      <c r="G11" s="21" t="s">
        <v>53</v>
      </c>
      <c r="H11" s="21" t="s">
        <v>53</v>
      </c>
      <c r="I11" s="22" t="s">
        <v>54</v>
      </c>
      <c r="J11" s="18" t="s">
        <v>55</v>
      </c>
      <c r="K11" s="19" t="s">
        <v>56</v>
      </c>
      <c r="L11" s="19" t="s">
        <v>56</v>
      </c>
      <c r="M11" s="19" t="s">
        <v>56</v>
      </c>
      <c r="N11" s="19" t="s">
        <v>56</v>
      </c>
      <c r="O11" s="19" t="s">
        <v>56</v>
      </c>
      <c r="P11" s="19" t="s">
        <v>56</v>
      </c>
      <c r="Q11" s="20" t="s">
        <v>53</v>
      </c>
      <c r="R11" s="20" t="s">
        <v>53</v>
      </c>
    </row>
    <row r="12" spans="1:18" ht="37.5" customHeight="1">
      <c r="A12" s="15">
        <v>5</v>
      </c>
      <c r="B12" s="16" t="s">
        <v>65</v>
      </c>
      <c r="C12" s="17" t="s">
        <v>66</v>
      </c>
      <c r="D12" s="16" t="s">
        <v>67</v>
      </c>
      <c r="E12" s="16" t="s">
        <v>68</v>
      </c>
      <c r="F12" s="16" t="s">
        <v>53</v>
      </c>
      <c r="G12" s="16" t="s">
        <v>53</v>
      </c>
      <c r="H12" s="16" t="s">
        <v>53</v>
      </c>
      <c r="I12" s="17" t="s">
        <v>54</v>
      </c>
      <c r="J12" s="18" t="s">
        <v>55</v>
      </c>
      <c r="K12" s="19" t="s">
        <v>56</v>
      </c>
      <c r="L12" s="19" t="s">
        <v>56</v>
      </c>
      <c r="M12" s="19" t="s">
        <v>56</v>
      </c>
      <c r="N12" s="19" t="s">
        <v>56</v>
      </c>
      <c r="O12" s="19" t="s">
        <v>56</v>
      </c>
      <c r="P12" s="19" t="s">
        <v>56</v>
      </c>
      <c r="Q12" s="20" t="s">
        <v>53</v>
      </c>
      <c r="R12" s="20" t="s">
        <v>53</v>
      </c>
    </row>
    <row r="13" spans="1:18" ht="37.5" customHeight="1">
      <c r="A13" s="15">
        <v>6</v>
      </c>
      <c r="B13" s="21" t="s">
        <v>69</v>
      </c>
      <c r="C13" s="22" t="s">
        <v>70</v>
      </c>
      <c r="D13" s="21" t="s">
        <v>71</v>
      </c>
      <c r="E13" s="21" t="s">
        <v>72</v>
      </c>
      <c r="F13" s="21" t="s">
        <v>53</v>
      </c>
      <c r="G13" s="21" t="s">
        <v>53</v>
      </c>
      <c r="H13" s="21" t="s">
        <v>53</v>
      </c>
      <c r="I13" s="22" t="s">
        <v>54</v>
      </c>
      <c r="J13" s="18" t="s">
        <v>55</v>
      </c>
      <c r="K13" s="19" t="s">
        <v>56</v>
      </c>
      <c r="L13" s="19" t="s">
        <v>56</v>
      </c>
      <c r="M13" s="19" t="s">
        <v>56</v>
      </c>
      <c r="N13" s="19" t="s">
        <v>56</v>
      </c>
      <c r="O13" s="19" t="s">
        <v>56</v>
      </c>
      <c r="P13" s="19" t="s">
        <v>56</v>
      </c>
      <c r="Q13" s="20" t="s">
        <v>53</v>
      </c>
      <c r="R13" s="20" t="s">
        <v>53</v>
      </c>
    </row>
    <row r="14" spans="1:18" ht="37.5" customHeight="1">
      <c r="A14" s="15">
        <v>7</v>
      </c>
      <c r="B14" s="16" t="s">
        <v>73</v>
      </c>
      <c r="C14" s="17" t="s">
        <v>74</v>
      </c>
      <c r="D14" s="16" t="s">
        <v>75</v>
      </c>
      <c r="E14" s="16" t="s">
        <v>76</v>
      </c>
      <c r="F14" s="16" t="s">
        <v>53</v>
      </c>
      <c r="G14" s="16" t="s">
        <v>53</v>
      </c>
      <c r="H14" s="16" t="s">
        <v>53</v>
      </c>
      <c r="I14" s="17" t="s">
        <v>54</v>
      </c>
      <c r="J14" s="18" t="s">
        <v>55</v>
      </c>
      <c r="K14" s="19" t="s">
        <v>56</v>
      </c>
      <c r="L14" s="19" t="s">
        <v>56</v>
      </c>
      <c r="M14" s="19" t="s">
        <v>56</v>
      </c>
      <c r="N14" s="19" t="s">
        <v>56</v>
      </c>
      <c r="O14" s="19" t="s">
        <v>56</v>
      </c>
      <c r="P14" s="19" t="s">
        <v>56</v>
      </c>
      <c r="Q14" s="20" t="s">
        <v>53</v>
      </c>
      <c r="R14" s="20" t="s">
        <v>53</v>
      </c>
    </row>
    <row r="15" spans="1:18" ht="37.5" customHeight="1">
      <c r="A15" s="15">
        <v>8</v>
      </c>
      <c r="B15" s="21" t="s">
        <v>77</v>
      </c>
      <c r="C15" s="22" t="s">
        <v>78</v>
      </c>
      <c r="D15" s="21" t="s">
        <v>79</v>
      </c>
      <c r="E15" s="21" t="s">
        <v>80</v>
      </c>
      <c r="F15" s="21" t="s">
        <v>53</v>
      </c>
      <c r="G15" s="21" t="s">
        <v>53</v>
      </c>
      <c r="H15" s="21" t="s">
        <v>53</v>
      </c>
      <c r="I15" s="22" t="s">
        <v>54</v>
      </c>
      <c r="J15" s="18" t="s">
        <v>55</v>
      </c>
      <c r="K15" s="19" t="s">
        <v>56</v>
      </c>
      <c r="L15" s="19" t="s">
        <v>56</v>
      </c>
      <c r="M15" s="19" t="s">
        <v>56</v>
      </c>
      <c r="N15" s="19" t="s">
        <v>56</v>
      </c>
      <c r="O15" s="19" t="s">
        <v>56</v>
      </c>
      <c r="P15" s="19" t="s">
        <v>56</v>
      </c>
      <c r="Q15" s="20" t="s">
        <v>53</v>
      </c>
      <c r="R15" s="20" t="s">
        <v>53</v>
      </c>
    </row>
    <row r="16" spans="1:18" ht="37.5" customHeight="1">
      <c r="A16" s="15">
        <v>9</v>
      </c>
      <c r="B16" s="16" t="s">
        <v>81</v>
      </c>
      <c r="C16" s="17" t="s">
        <v>82</v>
      </c>
      <c r="D16" s="16" t="s">
        <v>83</v>
      </c>
      <c r="E16" s="16" t="s">
        <v>84</v>
      </c>
      <c r="F16" s="16" t="s">
        <v>53</v>
      </c>
      <c r="G16" s="16" t="s">
        <v>53</v>
      </c>
      <c r="H16" s="16" t="s">
        <v>53</v>
      </c>
      <c r="I16" s="17" t="s">
        <v>54</v>
      </c>
      <c r="J16" s="18" t="s">
        <v>55</v>
      </c>
      <c r="K16" s="19" t="s">
        <v>56</v>
      </c>
      <c r="L16" s="19" t="s">
        <v>56</v>
      </c>
      <c r="M16" s="19" t="s">
        <v>56</v>
      </c>
      <c r="N16" s="19" t="s">
        <v>56</v>
      </c>
      <c r="O16" s="19" t="s">
        <v>56</v>
      </c>
      <c r="P16" s="19" t="s">
        <v>56</v>
      </c>
      <c r="Q16" s="20" t="s">
        <v>53</v>
      </c>
      <c r="R16" s="20" t="s">
        <v>53</v>
      </c>
    </row>
    <row r="17" spans="1:18" ht="37.5" customHeight="1">
      <c r="A17" s="15">
        <v>10</v>
      </c>
      <c r="B17" s="21" t="s">
        <v>49</v>
      </c>
      <c r="C17" s="22" t="s">
        <v>85</v>
      </c>
      <c r="D17" s="21" t="s">
        <v>86</v>
      </c>
      <c r="E17" s="21" t="s">
        <v>86</v>
      </c>
      <c r="F17" s="21" t="s">
        <v>53</v>
      </c>
      <c r="G17" s="21" t="s">
        <v>53</v>
      </c>
      <c r="H17" s="21" t="s">
        <v>53</v>
      </c>
      <c r="I17" s="22" t="s">
        <v>54</v>
      </c>
      <c r="J17" s="18" t="s">
        <v>55</v>
      </c>
      <c r="K17" s="19" t="s">
        <v>56</v>
      </c>
      <c r="L17" s="19" t="s">
        <v>56</v>
      </c>
      <c r="M17" s="19" t="s">
        <v>56</v>
      </c>
      <c r="N17" s="19" t="s">
        <v>56</v>
      </c>
      <c r="O17" s="19" t="s">
        <v>56</v>
      </c>
      <c r="P17" s="19" t="s">
        <v>56</v>
      </c>
      <c r="Q17" s="20" t="s">
        <v>53</v>
      </c>
      <c r="R17" s="20" t="s">
        <v>53</v>
      </c>
    </row>
    <row r="18" spans="1:18" ht="37.5" customHeight="1">
      <c r="A18" s="15">
        <v>11</v>
      </c>
      <c r="B18" s="16" t="s">
        <v>49</v>
      </c>
      <c r="C18" s="17" t="s">
        <v>87</v>
      </c>
      <c r="D18" s="16" t="s">
        <v>88</v>
      </c>
      <c r="E18" s="16" t="s">
        <v>89</v>
      </c>
      <c r="F18" s="16" t="s">
        <v>53</v>
      </c>
      <c r="G18" s="16" t="s">
        <v>53</v>
      </c>
      <c r="H18" s="16" t="s">
        <v>53</v>
      </c>
      <c r="I18" s="17" t="s">
        <v>54</v>
      </c>
      <c r="J18" s="18" t="s">
        <v>55</v>
      </c>
      <c r="K18" s="19" t="s">
        <v>56</v>
      </c>
      <c r="L18" s="19" t="s">
        <v>56</v>
      </c>
      <c r="M18" s="19" t="s">
        <v>56</v>
      </c>
      <c r="N18" s="19" t="s">
        <v>56</v>
      </c>
      <c r="O18" s="19" t="s">
        <v>56</v>
      </c>
      <c r="P18" s="19" t="s">
        <v>56</v>
      </c>
      <c r="Q18" s="20" t="s">
        <v>53</v>
      </c>
      <c r="R18" s="20" t="s">
        <v>53</v>
      </c>
    </row>
    <row r="19" spans="1:18" ht="37.5" customHeight="1">
      <c r="A19" s="15">
        <v>12</v>
      </c>
      <c r="B19" s="21" t="s">
        <v>49</v>
      </c>
      <c r="C19" s="22" t="s">
        <v>90</v>
      </c>
      <c r="D19" s="21" t="s">
        <v>88</v>
      </c>
      <c r="E19" s="21" t="s">
        <v>89</v>
      </c>
      <c r="F19" s="21" t="s">
        <v>53</v>
      </c>
      <c r="G19" s="21" t="s">
        <v>53</v>
      </c>
      <c r="H19" s="21" t="s">
        <v>53</v>
      </c>
      <c r="I19" s="22" t="s">
        <v>54</v>
      </c>
      <c r="J19" s="18" t="s">
        <v>55</v>
      </c>
      <c r="K19" s="19" t="s">
        <v>56</v>
      </c>
      <c r="L19" s="19" t="s">
        <v>56</v>
      </c>
      <c r="M19" s="19" t="s">
        <v>56</v>
      </c>
      <c r="N19" s="19" t="s">
        <v>56</v>
      </c>
      <c r="O19" s="19" t="s">
        <v>56</v>
      </c>
      <c r="P19" s="19" t="s">
        <v>56</v>
      </c>
      <c r="Q19" s="20" t="s">
        <v>53</v>
      </c>
      <c r="R19" s="20" t="s">
        <v>53</v>
      </c>
    </row>
    <row r="20" spans="1:18" ht="37.5" customHeight="1">
      <c r="A20" s="15">
        <v>13</v>
      </c>
      <c r="B20" s="16" t="s">
        <v>49</v>
      </c>
      <c r="C20" s="17" t="s">
        <v>91</v>
      </c>
      <c r="D20" s="16" t="s">
        <v>88</v>
      </c>
      <c r="E20" s="16" t="s">
        <v>89</v>
      </c>
      <c r="F20" s="16" t="s">
        <v>53</v>
      </c>
      <c r="G20" s="16" t="s">
        <v>53</v>
      </c>
      <c r="H20" s="16" t="s">
        <v>53</v>
      </c>
      <c r="I20" s="17" t="s">
        <v>54</v>
      </c>
      <c r="J20" s="18" t="s">
        <v>55</v>
      </c>
      <c r="K20" s="19" t="s">
        <v>56</v>
      </c>
      <c r="L20" s="19" t="s">
        <v>56</v>
      </c>
      <c r="M20" s="19" t="s">
        <v>56</v>
      </c>
      <c r="N20" s="19" t="s">
        <v>56</v>
      </c>
      <c r="O20" s="19" t="s">
        <v>56</v>
      </c>
      <c r="P20" s="19" t="s">
        <v>56</v>
      </c>
      <c r="Q20" s="20" t="s">
        <v>53</v>
      </c>
      <c r="R20" s="20" t="s">
        <v>53</v>
      </c>
    </row>
    <row r="21" spans="1:18" ht="37.5" customHeight="1">
      <c r="A21" s="15">
        <v>14</v>
      </c>
      <c r="B21" s="21" t="s">
        <v>49</v>
      </c>
      <c r="C21" s="22" t="s">
        <v>92</v>
      </c>
      <c r="D21" s="21" t="s">
        <v>88</v>
      </c>
      <c r="E21" s="21" t="s">
        <v>89</v>
      </c>
      <c r="F21" s="21" t="s">
        <v>53</v>
      </c>
      <c r="G21" s="21" t="s">
        <v>53</v>
      </c>
      <c r="H21" s="21" t="s">
        <v>53</v>
      </c>
      <c r="I21" s="22" t="s">
        <v>54</v>
      </c>
      <c r="J21" s="18" t="s">
        <v>55</v>
      </c>
      <c r="K21" s="19" t="s">
        <v>56</v>
      </c>
      <c r="L21" s="19" t="s">
        <v>56</v>
      </c>
      <c r="M21" s="19" t="s">
        <v>56</v>
      </c>
      <c r="N21" s="19" t="s">
        <v>56</v>
      </c>
      <c r="O21" s="19" t="s">
        <v>56</v>
      </c>
      <c r="P21" s="19" t="s">
        <v>56</v>
      </c>
      <c r="Q21" s="20" t="s">
        <v>53</v>
      </c>
      <c r="R21" s="20" t="s">
        <v>53</v>
      </c>
    </row>
    <row r="22" spans="1:18" ht="37.5" customHeight="1">
      <c r="A22" s="15">
        <v>15</v>
      </c>
      <c r="B22" s="16" t="s">
        <v>49</v>
      </c>
      <c r="C22" s="17" t="s">
        <v>93</v>
      </c>
      <c r="D22" s="16" t="s">
        <v>88</v>
      </c>
      <c r="E22" s="16" t="s">
        <v>89</v>
      </c>
      <c r="F22" s="16" t="s">
        <v>53</v>
      </c>
      <c r="G22" s="16" t="s">
        <v>53</v>
      </c>
      <c r="H22" s="16" t="s">
        <v>53</v>
      </c>
      <c r="I22" s="17" t="s">
        <v>54</v>
      </c>
      <c r="J22" s="18" t="s">
        <v>55</v>
      </c>
      <c r="K22" s="19" t="s">
        <v>56</v>
      </c>
      <c r="L22" s="19" t="s">
        <v>56</v>
      </c>
      <c r="M22" s="19" t="s">
        <v>56</v>
      </c>
      <c r="N22" s="19" t="s">
        <v>56</v>
      </c>
      <c r="O22" s="19" t="s">
        <v>56</v>
      </c>
      <c r="P22" s="19" t="s">
        <v>56</v>
      </c>
      <c r="Q22" s="20" t="s">
        <v>53</v>
      </c>
      <c r="R22" s="20" t="s">
        <v>53</v>
      </c>
    </row>
    <row r="23" spans="1:18" ht="37.5" customHeight="1">
      <c r="A23" s="15">
        <v>16</v>
      </c>
      <c r="B23" s="21" t="s">
        <v>49</v>
      </c>
      <c r="C23" s="22" t="s">
        <v>94</v>
      </c>
      <c r="D23" s="21" t="s">
        <v>88</v>
      </c>
      <c r="E23" s="21" t="s">
        <v>89</v>
      </c>
      <c r="F23" s="21" t="s">
        <v>53</v>
      </c>
      <c r="G23" s="21" t="s">
        <v>53</v>
      </c>
      <c r="H23" s="21" t="s">
        <v>53</v>
      </c>
      <c r="I23" s="22" t="s">
        <v>54</v>
      </c>
      <c r="J23" s="18" t="s">
        <v>55</v>
      </c>
      <c r="K23" s="19" t="s">
        <v>56</v>
      </c>
      <c r="L23" s="19" t="s">
        <v>56</v>
      </c>
      <c r="M23" s="19" t="s">
        <v>56</v>
      </c>
      <c r="N23" s="19" t="s">
        <v>56</v>
      </c>
      <c r="O23" s="19" t="s">
        <v>56</v>
      </c>
      <c r="P23" s="19" t="s">
        <v>56</v>
      </c>
      <c r="Q23" s="20" t="s">
        <v>53</v>
      </c>
      <c r="R23" s="20" t="s">
        <v>53</v>
      </c>
    </row>
    <row r="24" spans="1:18" ht="37.5" customHeight="1">
      <c r="A24" s="15">
        <v>17</v>
      </c>
      <c r="B24" s="16" t="s">
        <v>49</v>
      </c>
      <c r="C24" s="17" t="s">
        <v>95</v>
      </c>
      <c r="D24" s="16" t="s">
        <v>86</v>
      </c>
      <c r="E24" s="16" t="s">
        <v>86</v>
      </c>
      <c r="F24" s="16" t="s">
        <v>53</v>
      </c>
      <c r="G24" s="16" t="s">
        <v>53</v>
      </c>
      <c r="H24" s="16" t="s">
        <v>53</v>
      </c>
      <c r="I24" s="17" t="s">
        <v>54</v>
      </c>
      <c r="J24" s="18" t="s">
        <v>55</v>
      </c>
      <c r="K24" s="19" t="s">
        <v>56</v>
      </c>
      <c r="L24" s="19" t="s">
        <v>56</v>
      </c>
      <c r="M24" s="19" t="s">
        <v>56</v>
      </c>
      <c r="N24" s="19" t="s">
        <v>56</v>
      </c>
      <c r="O24" s="19" t="s">
        <v>56</v>
      </c>
      <c r="P24" s="19" t="s">
        <v>56</v>
      </c>
      <c r="Q24" s="20" t="s">
        <v>53</v>
      </c>
      <c r="R24" s="20" t="s">
        <v>53</v>
      </c>
    </row>
    <row r="25" spans="1:18" ht="37.5" customHeight="1">
      <c r="A25" s="15">
        <v>18</v>
      </c>
      <c r="B25" s="21" t="s">
        <v>49</v>
      </c>
      <c r="C25" s="22" t="s">
        <v>96</v>
      </c>
      <c r="D25" s="21" t="s">
        <v>97</v>
      </c>
      <c r="E25" s="21" t="s">
        <v>98</v>
      </c>
      <c r="F25" s="21" t="s">
        <v>53</v>
      </c>
      <c r="G25" s="21" t="s">
        <v>53</v>
      </c>
      <c r="H25" s="21" t="s">
        <v>53</v>
      </c>
      <c r="I25" s="22" t="s">
        <v>54</v>
      </c>
      <c r="J25" s="18" t="s">
        <v>55</v>
      </c>
      <c r="K25" s="19" t="s">
        <v>56</v>
      </c>
      <c r="L25" s="19" t="s">
        <v>56</v>
      </c>
      <c r="M25" s="19" t="s">
        <v>56</v>
      </c>
      <c r="N25" s="19" t="s">
        <v>56</v>
      </c>
      <c r="O25" s="19" t="s">
        <v>56</v>
      </c>
      <c r="P25" s="19" t="s">
        <v>56</v>
      </c>
      <c r="Q25" s="20" t="s">
        <v>53</v>
      </c>
      <c r="R25" s="20" t="s">
        <v>53</v>
      </c>
    </row>
    <row r="26" spans="1:18" ht="37.5" customHeight="1">
      <c r="A26" s="15">
        <v>19</v>
      </c>
      <c r="B26" s="16" t="s">
        <v>49</v>
      </c>
      <c r="C26" s="17" t="s">
        <v>99</v>
      </c>
      <c r="D26" s="16" t="s">
        <v>88</v>
      </c>
      <c r="E26" s="16" t="s">
        <v>89</v>
      </c>
      <c r="F26" s="16" t="s">
        <v>53</v>
      </c>
      <c r="G26" s="16" t="s">
        <v>53</v>
      </c>
      <c r="H26" s="16" t="s">
        <v>53</v>
      </c>
      <c r="I26" s="17" t="s">
        <v>54</v>
      </c>
      <c r="J26" s="18" t="s">
        <v>55</v>
      </c>
      <c r="K26" s="19" t="s">
        <v>56</v>
      </c>
      <c r="L26" s="19" t="s">
        <v>56</v>
      </c>
      <c r="M26" s="19" t="s">
        <v>56</v>
      </c>
      <c r="N26" s="19" t="s">
        <v>56</v>
      </c>
      <c r="O26" s="19" t="s">
        <v>56</v>
      </c>
      <c r="P26" s="19" t="s">
        <v>56</v>
      </c>
      <c r="Q26" s="20" t="s">
        <v>53</v>
      </c>
      <c r="R26" s="20" t="s">
        <v>53</v>
      </c>
    </row>
    <row r="27" spans="1:18" ht="37.5" customHeight="1">
      <c r="A27" s="15">
        <v>20</v>
      </c>
      <c r="B27" s="21" t="s">
        <v>49</v>
      </c>
      <c r="C27" s="22" t="s">
        <v>100</v>
      </c>
      <c r="D27" s="21" t="s">
        <v>88</v>
      </c>
      <c r="E27" s="21" t="s">
        <v>89</v>
      </c>
      <c r="F27" s="21" t="s">
        <v>53</v>
      </c>
      <c r="G27" s="21" t="s">
        <v>53</v>
      </c>
      <c r="H27" s="21" t="s">
        <v>53</v>
      </c>
      <c r="I27" s="22" t="s">
        <v>54</v>
      </c>
      <c r="J27" s="18" t="s">
        <v>55</v>
      </c>
      <c r="K27" s="19" t="s">
        <v>56</v>
      </c>
      <c r="L27" s="19" t="s">
        <v>56</v>
      </c>
      <c r="M27" s="19" t="s">
        <v>56</v>
      </c>
      <c r="N27" s="19" t="s">
        <v>56</v>
      </c>
      <c r="O27" s="19" t="s">
        <v>56</v>
      </c>
      <c r="P27" s="19" t="s">
        <v>56</v>
      </c>
      <c r="Q27" s="20" t="s">
        <v>53</v>
      </c>
      <c r="R27" s="20" t="s">
        <v>53</v>
      </c>
    </row>
    <row r="28" spans="1:18" ht="37.5" customHeight="1">
      <c r="A28" s="15">
        <v>21</v>
      </c>
      <c r="B28" s="16" t="s">
        <v>49</v>
      </c>
      <c r="C28" s="17" t="s">
        <v>101</v>
      </c>
      <c r="D28" s="16" t="s">
        <v>88</v>
      </c>
      <c r="E28" s="16" t="s">
        <v>89</v>
      </c>
      <c r="F28" s="16" t="s">
        <v>53</v>
      </c>
      <c r="G28" s="16" t="s">
        <v>53</v>
      </c>
      <c r="H28" s="16" t="s">
        <v>53</v>
      </c>
      <c r="I28" s="17" t="s">
        <v>54</v>
      </c>
      <c r="J28" s="18" t="s">
        <v>55</v>
      </c>
      <c r="K28" s="19" t="s">
        <v>56</v>
      </c>
      <c r="L28" s="19" t="s">
        <v>56</v>
      </c>
      <c r="M28" s="19" t="s">
        <v>56</v>
      </c>
      <c r="N28" s="19" t="s">
        <v>56</v>
      </c>
      <c r="O28" s="19" t="s">
        <v>56</v>
      </c>
      <c r="P28" s="19" t="s">
        <v>56</v>
      </c>
      <c r="Q28" s="20" t="s">
        <v>53</v>
      </c>
      <c r="R28" s="20" t="s">
        <v>53</v>
      </c>
    </row>
    <row r="29" spans="1:18" ht="37.5" customHeight="1">
      <c r="A29" s="15">
        <v>22</v>
      </c>
      <c r="B29" s="21" t="s">
        <v>49</v>
      </c>
      <c r="C29" s="22" t="s">
        <v>102</v>
      </c>
      <c r="D29" s="21" t="s">
        <v>83</v>
      </c>
      <c r="E29" s="21" t="s">
        <v>84</v>
      </c>
      <c r="F29" s="21" t="s">
        <v>53</v>
      </c>
      <c r="G29" s="21" t="s">
        <v>53</v>
      </c>
      <c r="H29" s="21" t="s">
        <v>53</v>
      </c>
      <c r="I29" s="22" t="s">
        <v>54</v>
      </c>
      <c r="J29" s="18" t="s">
        <v>55</v>
      </c>
      <c r="K29" s="19" t="s">
        <v>56</v>
      </c>
      <c r="L29" s="19" t="s">
        <v>56</v>
      </c>
      <c r="M29" s="19" t="s">
        <v>56</v>
      </c>
      <c r="N29" s="19" t="s">
        <v>56</v>
      </c>
      <c r="O29" s="19" t="s">
        <v>56</v>
      </c>
      <c r="P29" s="19" t="s">
        <v>56</v>
      </c>
      <c r="Q29" s="20" t="s">
        <v>53</v>
      </c>
      <c r="R29" s="20" t="s">
        <v>53</v>
      </c>
    </row>
    <row r="30" spans="1:18" ht="37.5" customHeight="1">
      <c r="A30" s="15">
        <v>23</v>
      </c>
      <c r="B30" s="16" t="s">
        <v>49</v>
      </c>
      <c r="C30" s="17" t="s">
        <v>103</v>
      </c>
      <c r="D30" s="16" t="s">
        <v>63</v>
      </c>
      <c r="E30" s="16" t="s">
        <v>64</v>
      </c>
      <c r="F30" s="16" t="s">
        <v>53</v>
      </c>
      <c r="G30" s="16" t="s">
        <v>53</v>
      </c>
      <c r="H30" s="16" t="s">
        <v>53</v>
      </c>
      <c r="I30" s="17" t="s">
        <v>54</v>
      </c>
      <c r="J30" s="18" t="s">
        <v>55</v>
      </c>
      <c r="K30" s="19" t="s">
        <v>56</v>
      </c>
      <c r="L30" s="19" t="s">
        <v>56</v>
      </c>
      <c r="M30" s="19" t="s">
        <v>56</v>
      </c>
      <c r="N30" s="19" t="s">
        <v>56</v>
      </c>
      <c r="O30" s="19" t="s">
        <v>56</v>
      </c>
      <c r="P30" s="19" t="s">
        <v>56</v>
      </c>
      <c r="Q30" s="20" t="s">
        <v>53</v>
      </c>
      <c r="R30" s="20" t="s">
        <v>53</v>
      </c>
    </row>
    <row r="31" spans="1:18" ht="37.5" customHeight="1">
      <c r="A31" s="15">
        <v>24</v>
      </c>
      <c r="B31" s="21" t="s">
        <v>49</v>
      </c>
      <c r="C31" s="22" t="s">
        <v>104</v>
      </c>
      <c r="D31" s="21" t="s">
        <v>88</v>
      </c>
      <c r="E31" s="21" t="s">
        <v>89</v>
      </c>
      <c r="F31" s="21" t="s">
        <v>53</v>
      </c>
      <c r="G31" s="21" t="s">
        <v>53</v>
      </c>
      <c r="H31" s="21" t="s">
        <v>53</v>
      </c>
      <c r="I31" s="22" t="s">
        <v>54</v>
      </c>
      <c r="J31" s="18" t="s">
        <v>55</v>
      </c>
      <c r="K31" s="19" t="s">
        <v>56</v>
      </c>
      <c r="L31" s="19" t="s">
        <v>56</v>
      </c>
      <c r="M31" s="19" t="s">
        <v>56</v>
      </c>
      <c r="N31" s="19" t="s">
        <v>56</v>
      </c>
      <c r="O31" s="19" t="s">
        <v>56</v>
      </c>
      <c r="P31" s="19" t="s">
        <v>56</v>
      </c>
      <c r="Q31" s="20" t="s">
        <v>53</v>
      </c>
      <c r="R31" s="20" t="s">
        <v>53</v>
      </c>
    </row>
    <row r="32" spans="1:18" ht="37.5" customHeight="1">
      <c r="A32" s="15">
        <v>25</v>
      </c>
      <c r="B32" s="16" t="s">
        <v>49</v>
      </c>
      <c r="C32" s="17" t="s">
        <v>105</v>
      </c>
      <c r="D32" s="16" t="s">
        <v>88</v>
      </c>
      <c r="E32" s="16" t="s">
        <v>89</v>
      </c>
      <c r="F32" s="16" t="s">
        <v>53</v>
      </c>
      <c r="G32" s="16" t="s">
        <v>53</v>
      </c>
      <c r="H32" s="16" t="s">
        <v>53</v>
      </c>
      <c r="I32" s="17" t="s">
        <v>54</v>
      </c>
      <c r="J32" s="18" t="s">
        <v>55</v>
      </c>
      <c r="K32" s="19" t="s">
        <v>56</v>
      </c>
      <c r="L32" s="19" t="s">
        <v>56</v>
      </c>
      <c r="M32" s="19" t="s">
        <v>56</v>
      </c>
      <c r="N32" s="19" t="s">
        <v>56</v>
      </c>
      <c r="O32" s="19" t="s">
        <v>56</v>
      </c>
      <c r="P32" s="19" t="s">
        <v>56</v>
      </c>
      <c r="Q32" s="20" t="s">
        <v>53</v>
      </c>
      <c r="R32" s="20" t="s">
        <v>53</v>
      </c>
    </row>
    <row r="33" spans="1:18" ht="37.5" customHeight="1">
      <c r="A33" s="15">
        <v>26</v>
      </c>
      <c r="B33" s="21" t="s">
        <v>49</v>
      </c>
      <c r="C33" s="22" t="s">
        <v>106</v>
      </c>
      <c r="D33" s="21" t="s">
        <v>83</v>
      </c>
      <c r="E33" s="21" t="s">
        <v>84</v>
      </c>
      <c r="F33" s="21" t="s">
        <v>53</v>
      </c>
      <c r="G33" s="21" t="s">
        <v>53</v>
      </c>
      <c r="H33" s="21" t="s">
        <v>53</v>
      </c>
      <c r="I33" s="22" t="s">
        <v>54</v>
      </c>
      <c r="J33" s="18" t="s">
        <v>55</v>
      </c>
      <c r="K33" s="19" t="s">
        <v>56</v>
      </c>
      <c r="L33" s="19" t="s">
        <v>56</v>
      </c>
      <c r="M33" s="19" t="s">
        <v>56</v>
      </c>
      <c r="N33" s="19" t="s">
        <v>56</v>
      </c>
      <c r="O33" s="19" t="s">
        <v>56</v>
      </c>
      <c r="P33" s="19" t="s">
        <v>56</v>
      </c>
      <c r="Q33" s="20" t="s">
        <v>53</v>
      </c>
      <c r="R33" s="20" t="s">
        <v>53</v>
      </c>
    </row>
    <row r="34" spans="1:18" ht="37.5" customHeight="1">
      <c r="A34" s="15">
        <v>27</v>
      </c>
      <c r="B34" s="16" t="s">
        <v>49</v>
      </c>
      <c r="C34" s="17" t="s">
        <v>107</v>
      </c>
      <c r="D34" s="16" t="s">
        <v>83</v>
      </c>
      <c r="E34" s="16" t="s">
        <v>84</v>
      </c>
      <c r="F34" s="16" t="s">
        <v>53</v>
      </c>
      <c r="G34" s="16" t="s">
        <v>53</v>
      </c>
      <c r="H34" s="16" t="s">
        <v>53</v>
      </c>
      <c r="I34" s="17" t="s">
        <v>54</v>
      </c>
      <c r="J34" s="18" t="s">
        <v>55</v>
      </c>
      <c r="K34" s="19" t="s">
        <v>56</v>
      </c>
      <c r="L34" s="19" t="s">
        <v>56</v>
      </c>
      <c r="M34" s="19" t="s">
        <v>56</v>
      </c>
      <c r="N34" s="19" t="s">
        <v>56</v>
      </c>
      <c r="O34" s="19" t="s">
        <v>56</v>
      </c>
      <c r="P34" s="19" t="s">
        <v>56</v>
      </c>
      <c r="Q34" s="20" t="s">
        <v>53</v>
      </c>
      <c r="R34" s="20" t="s">
        <v>53</v>
      </c>
    </row>
    <row r="35" spans="1:18" ht="37.5" customHeight="1">
      <c r="A35" s="15">
        <v>28</v>
      </c>
      <c r="B35" s="21" t="s">
        <v>49</v>
      </c>
      <c r="C35" s="22" t="s">
        <v>108</v>
      </c>
      <c r="D35" s="21" t="s">
        <v>83</v>
      </c>
      <c r="E35" s="21" t="s">
        <v>84</v>
      </c>
      <c r="F35" s="21" t="s">
        <v>53</v>
      </c>
      <c r="G35" s="21" t="s">
        <v>53</v>
      </c>
      <c r="H35" s="21" t="s">
        <v>53</v>
      </c>
      <c r="I35" s="22" t="s">
        <v>54</v>
      </c>
      <c r="J35" s="18" t="s">
        <v>55</v>
      </c>
      <c r="K35" s="19" t="s">
        <v>56</v>
      </c>
      <c r="L35" s="19" t="s">
        <v>56</v>
      </c>
      <c r="M35" s="19" t="s">
        <v>56</v>
      </c>
      <c r="N35" s="19" t="s">
        <v>56</v>
      </c>
      <c r="O35" s="19" t="s">
        <v>56</v>
      </c>
      <c r="P35" s="19" t="s">
        <v>56</v>
      </c>
      <c r="Q35" s="20" t="s">
        <v>53</v>
      </c>
      <c r="R35" s="20" t="s">
        <v>53</v>
      </c>
    </row>
    <row r="36" spans="1:18" ht="37.5" customHeight="1">
      <c r="A36" s="15">
        <v>29</v>
      </c>
      <c r="B36" s="16" t="s">
        <v>49</v>
      </c>
      <c r="C36" s="17" t="s">
        <v>109</v>
      </c>
      <c r="D36" s="16" t="s">
        <v>83</v>
      </c>
      <c r="E36" s="16" t="s">
        <v>84</v>
      </c>
      <c r="F36" s="16" t="s">
        <v>53</v>
      </c>
      <c r="G36" s="16" t="s">
        <v>53</v>
      </c>
      <c r="H36" s="16" t="s">
        <v>53</v>
      </c>
      <c r="I36" s="17" t="s">
        <v>54</v>
      </c>
      <c r="J36" s="18" t="s">
        <v>55</v>
      </c>
      <c r="K36" s="19" t="s">
        <v>56</v>
      </c>
      <c r="L36" s="19" t="s">
        <v>56</v>
      </c>
      <c r="M36" s="19" t="s">
        <v>56</v>
      </c>
      <c r="N36" s="19" t="s">
        <v>56</v>
      </c>
      <c r="O36" s="19" t="s">
        <v>56</v>
      </c>
      <c r="P36" s="19" t="s">
        <v>56</v>
      </c>
      <c r="Q36" s="20" t="s">
        <v>53</v>
      </c>
      <c r="R36" s="20" t="s">
        <v>53</v>
      </c>
    </row>
    <row r="37" spans="1:18" ht="37.5" customHeight="1">
      <c r="A37" s="15">
        <v>30</v>
      </c>
      <c r="B37" s="21" t="s">
        <v>49</v>
      </c>
      <c r="C37" s="22" t="s">
        <v>110</v>
      </c>
      <c r="D37" s="21" t="s">
        <v>111</v>
      </c>
      <c r="E37" s="21" t="s">
        <v>112</v>
      </c>
      <c r="F37" s="21" t="s">
        <v>53</v>
      </c>
      <c r="G37" s="21" t="s">
        <v>53</v>
      </c>
      <c r="H37" s="21" t="s">
        <v>53</v>
      </c>
      <c r="I37" s="22" t="s">
        <v>54</v>
      </c>
      <c r="J37" s="18" t="s">
        <v>55</v>
      </c>
      <c r="K37" s="19" t="s">
        <v>56</v>
      </c>
      <c r="L37" s="19" t="s">
        <v>56</v>
      </c>
      <c r="M37" s="19" t="s">
        <v>56</v>
      </c>
      <c r="N37" s="19" t="s">
        <v>56</v>
      </c>
      <c r="O37" s="19" t="s">
        <v>56</v>
      </c>
      <c r="P37" s="19" t="s">
        <v>56</v>
      </c>
      <c r="Q37" s="20" t="s">
        <v>53</v>
      </c>
      <c r="R37" s="20" t="s">
        <v>53</v>
      </c>
    </row>
    <row r="38" spans="1:18" ht="37.5" customHeight="1">
      <c r="A38" s="15">
        <v>31</v>
      </c>
      <c r="B38" s="16" t="s">
        <v>113</v>
      </c>
      <c r="C38" s="17" t="s">
        <v>114</v>
      </c>
      <c r="D38" s="16" t="s">
        <v>115</v>
      </c>
      <c r="E38" s="16" t="s">
        <v>116</v>
      </c>
      <c r="F38" s="16" t="s">
        <v>53</v>
      </c>
      <c r="G38" s="16" t="s">
        <v>53</v>
      </c>
      <c r="H38" s="16" t="s">
        <v>53</v>
      </c>
      <c r="I38" s="17" t="s">
        <v>54</v>
      </c>
      <c r="J38" s="18" t="s">
        <v>55</v>
      </c>
      <c r="K38" s="19" t="s">
        <v>56</v>
      </c>
      <c r="L38" s="19" t="s">
        <v>56</v>
      </c>
      <c r="M38" s="19" t="s">
        <v>56</v>
      </c>
      <c r="N38" s="19" t="s">
        <v>56</v>
      </c>
      <c r="O38" s="19" t="s">
        <v>56</v>
      </c>
      <c r="P38" s="19" t="s">
        <v>56</v>
      </c>
      <c r="Q38" s="20" t="s">
        <v>53</v>
      </c>
      <c r="R38" s="20" t="s">
        <v>53</v>
      </c>
    </row>
    <row r="39" spans="1:18" ht="37.5" customHeight="1">
      <c r="A39" s="15">
        <v>32</v>
      </c>
      <c r="B39" s="21" t="s">
        <v>49</v>
      </c>
      <c r="C39" s="22" t="s">
        <v>117</v>
      </c>
      <c r="D39" s="21" t="s">
        <v>88</v>
      </c>
      <c r="E39" s="21" t="s">
        <v>89</v>
      </c>
      <c r="F39" s="21" t="s">
        <v>53</v>
      </c>
      <c r="G39" s="21" t="s">
        <v>53</v>
      </c>
      <c r="H39" s="21" t="s">
        <v>53</v>
      </c>
      <c r="I39" s="22" t="s">
        <v>54</v>
      </c>
      <c r="J39" s="18" t="s">
        <v>55</v>
      </c>
      <c r="K39" s="19" t="s">
        <v>56</v>
      </c>
      <c r="L39" s="19" t="s">
        <v>56</v>
      </c>
      <c r="M39" s="19" t="s">
        <v>56</v>
      </c>
      <c r="N39" s="19" t="s">
        <v>56</v>
      </c>
      <c r="O39" s="19" t="s">
        <v>56</v>
      </c>
      <c r="P39" s="19" t="s">
        <v>56</v>
      </c>
      <c r="Q39" s="20" t="s">
        <v>53</v>
      </c>
      <c r="R39" s="20" t="s">
        <v>53</v>
      </c>
    </row>
    <row r="40" spans="1:18" ht="37.5" customHeight="1">
      <c r="A40" s="15">
        <v>33</v>
      </c>
      <c r="B40" s="16" t="s">
        <v>49</v>
      </c>
      <c r="C40" s="17" t="s">
        <v>118</v>
      </c>
      <c r="D40" s="16" t="s">
        <v>88</v>
      </c>
      <c r="E40" s="16" t="s">
        <v>89</v>
      </c>
      <c r="F40" s="16" t="s">
        <v>53</v>
      </c>
      <c r="G40" s="16" t="s">
        <v>53</v>
      </c>
      <c r="H40" s="16" t="s">
        <v>53</v>
      </c>
      <c r="I40" s="17" t="s">
        <v>54</v>
      </c>
      <c r="J40" s="18" t="s">
        <v>55</v>
      </c>
      <c r="K40" s="19" t="s">
        <v>56</v>
      </c>
      <c r="L40" s="19" t="s">
        <v>56</v>
      </c>
      <c r="M40" s="19" t="s">
        <v>56</v>
      </c>
      <c r="N40" s="19" t="s">
        <v>56</v>
      </c>
      <c r="O40" s="19" t="s">
        <v>56</v>
      </c>
      <c r="P40" s="19" t="s">
        <v>56</v>
      </c>
      <c r="Q40" s="20" t="s">
        <v>53</v>
      </c>
      <c r="R40" s="20" t="s">
        <v>53</v>
      </c>
    </row>
    <row r="41" spans="1:18" ht="37.5" customHeight="1">
      <c r="A41" s="15">
        <v>34</v>
      </c>
      <c r="B41" s="21" t="s">
        <v>49</v>
      </c>
      <c r="C41" s="22" t="s">
        <v>119</v>
      </c>
      <c r="D41" s="21" t="s">
        <v>120</v>
      </c>
      <c r="E41" s="21" t="s">
        <v>121</v>
      </c>
      <c r="F41" s="21" t="s">
        <v>53</v>
      </c>
      <c r="G41" s="21" t="s">
        <v>53</v>
      </c>
      <c r="H41" s="21" t="s">
        <v>53</v>
      </c>
      <c r="I41" s="22" t="s">
        <v>54</v>
      </c>
      <c r="J41" s="18" t="s">
        <v>55</v>
      </c>
      <c r="K41" s="19" t="s">
        <v>56</v>
      </c>
      <c r="L41" s="19" t="s">
        <v>56</v>
      </c>
      <c r="M41" s="19" t="s">
        <v>56</v>
      </c>
      <c r="N41" s="19" t="s">
        <v>56</v>
      </c>
      <c r="O41" s="19" t="s">
        <v>56</v>
      </c>
      <c r="P41" s="19" t="s">
        <v>56</v>
      </c>
      <c r="Q41" s="20" t="s">
        <v>53</v>
      </c>
      <c r="R41" s="20" t="s">
        <v>53</v>
      </c>
    </row>
    <row r="42" spans="1:18" ht="37.5" customHeight="1">
      <c r="A42" s="15">
        <v>35</v>
      </c>
      <c r="B42" s="16" t="s">
        <v>49</v>
      </c>
      <c r="C42" s="17" t="s">
        <v>122</v>
      </c>
      <c r="D42" s="16" t="s">
        <v>86</v>
      </c>
      <c r="E42" s="16" t="s">
        <v>86</v>
      </c>
      <c r="F42" s="16" t="s">
        <v>53</v>
      </c>
      <c r="G42" s="16" t="s">
        <v>53</v>
      </c>
      <c r="H42" s="16" t="s">
        <v>53</v>
      </c>
      <c r="I42" s="17" t="s">
        <v>54</v>
      </c>
      <c r="J42" s="18" t="s">
        <v>55</v>
      </c>
      <c r="K42" s="19" t="s">
        <v>56</v>
      </c>
      <c r="L42" s="19" t="s">
        <v>56</v>
      </c>
      <c r="M42" s="19" t="s">
        <v>56</v>
      </c>
      <c r="N42" s="19" t="s">
        <v>56</v>
      </c>
      <c r="O42" s="19" t="s">
        <v>56</v>
      </c>
      <c r="P42" s="19" t="s">
        <v>56</v>
      </c>
      <c r="Q42" s="20" t="s">
        <v>53</v>
      </c>
      <c r="R42" s="20" t="s">
        <v>53</v>
      </c>
    </row>
    <row r="43" spans="1:18" ht="37.5" customHeight="1">
      <c r="A43" s="15">
        <v>36</v>
      </c>
      <c r="B43" s="21" t="s">
        <v>49</v>
      </c>
      <c r="C43" s="22" t="s">
        <v>123</v>
      </c>
      <c r="D43" s="21" t="s">
        <v>86</v>
      </c>
      <c r="E43" s="21" t="s">
        <v>86</v>
      </c>
      <c r="F43" s="21" t="s">
        <v>53</v>
      </c>
      <c r="G43" s="21" t="s">
        <v>53</v>
      </c>
      <c r="H43" s="21" t="s">
        <v>53</v>
      </c>
      <c r="I43" s="22" t="s">
        <v>54</v>
      </c>
      <c r="J43" s="18" t="s">
        <v>55</v>
      </c>
      <c r="K43" s="19" t="s">
        <v>56</v>
      </c>
      <c r="L43" s="19" t="s">
        <v>56</v>
      </c>
      <c r="M43" s="19" t="s">
        <v>56</v>
      </c>
      <c r="N43" s="19" t="s">
        <v>56</v>
      </c>
      <c r="O43" s="19" t="s">
        <v>56</v>
      </c>
      <c r="P43" s="19" t="s">
        <v>56</v>
      </c>
      <c r="Q43" s="20" t="s">
        <v>53</v>
      </c>
      <c r="R43" s="20" t="s">
        <v>53</v>
      </c>
    </row>
    <row r="44" spans="1:18" ht="37.5" customHeight="1">
      <c r="A44" s="15">
        <v>37</v>
      </c>
      <c r="B44" s="16" t="s">
        <v>124</v>
      </c>
      <c r="C44" s="17" t="s">
        <v>125</v>
      </c>
      <c r="D44" s="16" t="s">
        <v>126</v>
      </c>
      <c r="E44" s="16" t="s">
        <v>127</v>
      </c>
      <c r="F44" s="16" t="s">
        <v>53</v>
      </c>
      <c r="G44" s="16" t="s">
        <v>53</v>
      </c>
      <c r="H44" s="16" t="s">
        <v>53</v>
      </c>
      <c r="I44" s="17" t="s">
        <v>54</v>
      </c>
      <c r="J44" s="18" t="s">
        <v>55</v>
      </c>
      <c r="K44" s="19" t="s">
        <v>56</v>
      </c>
      <c r="L44" s="19" t="s">
        <v>56</v>
      </c>
      <c r="M44" s="19" t="s">
        <v>56</v>
      </c>
      <c r="N44" s="19" t="s">
        <v>56</v>
      </c>
      <c r="O44" s="19" t="s">
        <v>56</v>
      </c>
      <c r="P44" s="19" t="s">
        <v>56</v>
      </c>
      <c r="Q44" s="20" t="s">
        <v>53</v>
      </c>
      <c r="R44" s="20" t="s">
        <v>53</v>
      </c>
    </row>
    <row r="45" spans="1:18" ht="37.5" customHeight="1">
      <c r="A45" s="15">
        <v>38</v>
      </c>
      <c r="B45" s="21" t="s">
        <v>124</v>
      </c>
      <c r="C45" s="22" t="s">
        <v>128</v>
      </c>
      <c r="D45" s="21" t="s">
        <v>129</v>
      </c>
      <c r="E45" s="21" t="s">
        <v>130</v>
      </c>
      <c r="F45" s="21" t="s">
        <v>53</v>
      </c>
      <c r="G45" s="21" t="s">
        <v>53</v>
      </c>
      <c r="H45" s="21" t="s">
        <v>53</v>
      </c>
      <c r="I45" s="22" t="s">
        <v>54</v>
      </c>
      <c r="J45" s="18" t="s">
        <v>55</v>
      </c>
      <c r="K45" s="19" t="s">
        <v>56</v>
      </c>
      <c r="L45" s="19" t="s">
        <v>56</v>
      </c>
      <c r="M45" s="19" t="s">
        <v>56</v>
      </c>
      <c r="N45" s="19" t="s">
        <v>56</v>
      </c>
      <c r="O45" s="19" t="s">
        <v>56</v>
      </c>
      <c r="P45" s="19" t="s">
        <v>56</v>
      </c>
      <c r="Q45" s="20" t="s">
        <v>53</v>
      </c>
      <c r="R45" s="20" t="s">
        <v>53</v>
      </c>
    </row>
    <row r="46" spans="1:18" ht="37.5" customHeight="1">
      <c r="A46" s="15">
        <v>39</v>
      </c>
      <c r="B46" s="16" t="s">
        <v>124</v>
      </c>
      <c r="C46" s="17" t="s">
        <v>131</v>
      </c>
      <c r="D46" s="16" t="s">
        <v>132</v>
      </c>
      <c r="E46" s="16" t="s">
        <v>133</v>
      </c>
      <c r="F46" s="16" t="s">
        <v>53</v>
      </c>
      <c r="G46" s="16" t="s">
        <v>53</v>
      </c>
      <c r="H46" s="16" t="s">
        <v>53</v>
      </c>
      <c r="I46" s="17" t="s">
        <v>54</v>
      </c>
      <c r="J46" s="18" t="s">
        <v>55</v>
      </c>
      <c r="K46" s="19" t="s">
        <v>56</v>
      </c>
      <c r="L46" s="19" t="s">
        <v>56</v>
      </c>
      <c r="M46" s="19" t="s">
        <v>56</v>
      </c>
      <c r="N46" s="19" t="s">
        <v>56</v>
      </c>
      <c r="O46" s="19" t="s">
        <v>56</v>
      </c>
      <c r="P46" s="19" t="s">
        <v>56</v>
      </c>
      <c r="Q46" s="20" t="s">
        <v>53</v>
      </c>
      <c r="R46" s="20" t="s">
        <v>53</v>
      </c>
    </row>
    <row r="47" spans="1:18" ht="37.5" customHeight="1">
      <c r="A47" s="15">
        <v>40</v>
      </c>
      <c r="B47" s="21" t="s">
        <v>10</v>
      </c>
      <c r="C47" s="22" t="s">
        <v>134</v>
      </c>
      <c r="D47" s="21" t="s">
        <v>135</v>
      </c>
      <c r="E47" s="21" t="s">
        <v>136</v>
      </c>
      <c r="F47" s="21" t="s">
        <v>53</v>
      </c>
      <c r="G47" s="21" t="s">
        <v>53</v>
      </c>
      <c r="H47" s="21" t="s">
        <v>53</v>
      </c>
      <c r="I47" s="22" t="s">
        <v>54</v>
      </c>
      <c r="J47" s="18" t="s">
        <v>55</v>
      </c>
      <c r="K47" s="19" t="s">
        <v>56</v>
      </c>
      <c r="L47" s="19" t="s">
        <v>56</v>
      </c>
      <c r="M47" s="19" t="s">
        <v>56</v>
      </c>
      <c r="N47" s="19" t="s">
        <v>56</v>
      </c>
      <c r="O47" s="19" t="s">
        <v>56</v>
      </c>
      <c r="P47" s="19" t="s">
        <v>56</v>
      </c>
      <c r="Q47" s="20" t="s">
        <v>53</v>
      </c>
      <c r="R47" s="20" t="s">
        <v>53</v>
      </c>
    </row>
    <row r="49" spans="1:18" ht="30" customHeight="1">
      <c r="A49" s="93" t="s">
        <v>137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</row>
    <row r="50" spans="1:18" ht="49.5" customHeight="1">
      <c r="A50" s="14" t="s">
        <v>4</v>
      </c>
      <c r="B50" s="14" t="s">
        <v>33</v>
      </c>
      <c r="C50" s="14" t="s">
        <v>138</v>
      </c>
      <c r="D50" s="14" t="s">
        <v>139</v>
      </c>
      <c r="E50" s="14" t="s">
        <v>35</v>
      </c>
      <c r="F50" s="14" t="s">
        <v>36</v>
      </c>
      <c r="G50" s="14" t="s">
        <v>140</v>
      </c>
      <c r="H50" s="14" t="s">
        <v>141</v>
      </c>
      <c r="I50" s="14" t="s">
        <v>40</v>
      </c>
      <c r="J50" s="14" t="s">
        <v>41</v>
      </c>
      <c r="K50" s="14" t="s">
        <v>42</v>
      </c>
      <c r="L50" s="14" t="s">
        <v>43</v>
      </c>
      <c r="M50" s="14" t="s">
        <v>19</v>
      </c>
      <c r="N50" s="14" t="s">
        <v>44</v>
      </c>
      <c r="O50" s="14" t="s">
        <v>45</v>
      </c>
      <c r="P50" s="14" t="s">
        <v>46</v>
      </c>
      <c r="Q50" s="14" t="s">
        <v>47</v>
      </c>
      <c r="R50" s="14" t="s">
        <v>48</v>
      </c>
    </row>
    <row r="51" spans="1:18" ht="37.5" customHeight="1">
      <c r="A51" s="15">
        <v>1</v>
      </c>
      <c r="B51" s="16" t="s">
        <v>10</v>
      </c>
      <c r="C51" s="17" t="s">
        <v>142</v>
      </c>
      <c r="D51" s="16" t="s">
        <v>143</v>
      </c>
      <c r="E51" s="16" t="s">
        <v>144</v>
      </c>
      <c r="F51" s="16" t="s">
        <v>144</v>
      </c>
      <c r="G51" s="16" t="s">
        <v>145</v>
      </c>
      <c r="H51" s="16" t="s">
        <v>146</v>
      </c>
      <c r="I51" s="17" t="s">
        <v>147</v>
      </c>
      <c r="J51" s="18" t="s">
        <v>55</v>
      </c>
      <c r="K51" s="19" t="s">
        <v>56</v>
      </c>
      <c r="L51" s="19" t="s">
        <v>56</v>
      </c>
      <c r="M51" s="19" t="s">
        <v>56</v>
      </c>
      <c r="N51" s="19" t="s">
        <v>56</v>
      </c>
      <c r="O51" s="19" t="s">
        <v>56</v>
      </c>
      <c r="P51" s="19" t="s">
        <v>56</v>
      </c>
      <c r="Q51" s="20" t="s">
        <v>53</v>
      </c>
      <c r="R51" s="20" t="s">
        <v>53</v>
      </c>
    </row>
    <row r="52" spans="1:18" ht="37.5" customHeight="1">
      <c r="A52" s="15">
        <v>2</v>
      </c>
      <c r="B52" s="21" t="s">
        <v>10</v>
      </c>
      <c r="C52" s="22" t="s">
        <v>148</v>
      </c>
      <c r="D52" s="21" t="s">
        <v>149</v>
      </c>
      <c r="E52" s="21" t="s">
        <v>144</v>
      </c>
      <c r="F52" s="21" t="s">
        <v>144</v>
      </c>
      <c r="G52" s="21" t="s">
        <v>150</v>
      </c>
      <c r="H52" s="21" t="s">
        <v>146</v>
      </c>
      <c r="I52" s="22" t="s">
        <v>147</v>
      </c>
      <c r="J52" s="18" t="s">
        <v>55</v>
      </c>
      <c r="K52" s="19" t="s">
        <v>56</v>
      </c>
      <c r="L52" s="19" t="s">
        <v>56</v>
      </c>
      <c r="M52" s="19" t="s">
        <v>56</v>
      </c>
      <c r="N52" s="19" t="s">
        <v>56</v>
      </c>
      <c r="O52" s="19" t="s">
        <v>56</v>
      </c>
      <c r="P52" s="19" t="s">
        <v>56</v>
      </c>
      <c r="Q52" s="20" t="s">
        <v>53</v>
      </c>
      <c r="R52" s="20" t="s">
        <v>53</v>
      </c>
    </row>
    <row r="53" spans="1:18" ht="37.5" customHeight="1">
      <c r="A53" s="15">
        <v>3</v>
      </c>
      <c r="B53" s="16" t="s">
        <v>49</v>
      </c>
      <c r="C53" s="17" t="s">
        <v>151</v>
      </c>
      <c r="D53" s="16" t="s">
        <v>143</v>
      </c>
      <c r="E53" s="16" t="s">
        <v>152</v>
      </c>
      <c r="F53" s="16" t="s">
        <v>153</v>
      </c>
      <c r="G53" s="16" t="s">
        <v>154</v>
      </c>
      <c r="H53" s="16" t="s">
        <v>146</v>
      </c>
      <c r="I53" s="17" t="s">
        <v>147</v>
      </c>
      <c r="J53" s="18" t="s">
        <v>55</v>
      </c>
      <c r="K53" s="19" t="s">
        <v>56</v>
      </c>
      <c r="L53" s="19" t="s">
        <v>56</v>
      </c>
      <c r="M53" s="19" t="s">
        <v>56</v>
      </c>
      <c r="N53" s="19" t="s">
        <v>56</v>
      </c>
      <c r="O53" s="19" t="s">
        <v>56</v>
      </c>
      <c r="P53" s="19" t="s">
        <v>56</v>
      </c>
      <c r="Q53" s="20" t="s">
        <v>53</v>
      </c>
      <c r="R53" s="20" t="s">
        <v>53</v>
      </c>
    </row>
    <row r="54" spans="1:18" ht="37.5" customHeight="1">
      <c r="A54" s="15">
        <v>4</v>
      </c>
      <c r="B54" s="21" t="s">
        <v>124</v>
      </c>
      <c r="C54" s="22" t="s">
        <v>155</v>
      </c>
      <c r="D54" s="21" t="s">
        <v>60</v>
      </c>
      <c r="E54" s="21" t="s">
        <v>156</v>
      </c>
      <c r="F54" s="21" t="s">
        <v>157</v>
      </c>
      <c r="G54" s="21" t="s">
        <v>158</v>
      </c>
      <c r="H54" s="21" t="s">
        <v>159</v>
      </c>
      <c r="I54" s="22" t="s">
        <v>147</v>
      </c>
      <c r="J54" s="18" t="s">
        <v>55</v>
      </c>
      <c r="K54" s="19" t="s">
        <v>56</v>
      </c>
      <c r="L54" s="19" t="s">
        <v>56</v>
      </c>
      <c r="M54" s="19" t="s">
        <v>56</v>
      </c>
      <c r="N54" s="19" t="s">
        <v>56</v>
      </c>
      <c r="O54" s="19" t="s">
        <v>56</v>
      </c>
      <c r="P54" s="19" t="s">
        <v>56</v>
      </c>
      <c r="Q54" s="20" t="s">
        <v>53</v>
      </c>
      <c r="R54" s="20" t="s">
        <v>53</v>
      </c>
    </row>
    <row r="55" spans="1:18" ht="37.5" customHeight="1">
      <c r="A55" s="15">
        <v>5</v>
      </c>
      <c r="B55" s="16" t="s">
        <v>124</v>
      </c>
      <c r="C55" s="17" t="s">
        <v>160</v>
      </c>
      <c r="D55" s="16" t="s">
        <v>60</v>
      </c>
      <c r="E55" s="16" t="s">
        <v>161</v>
      </c>
      <c r="F55" s="16" t="s">
        <v>162</v>
      </c>
      <c r="G55" s="16" t="s">
        <v>163</v>
      </c>
      <c r="H55" s="16" t="s">
        <v>146</v>
      </c>
      <c r="I55" s="17" t="s">
        <v>147</v>
      </c>
      <c r="J55" s="18" t="s">
        <v>55</v>
      </c>
      <c r="K55" s="19" t="s">
        <v>56</v>
      </c>
      <c r="L55" s="19" t="s">
        <v>56</v>
      </c>
      <c r="M55" s="19" t="s">
        <v>56</v>
      </c>
      <c r="N55" s="19" t="s">
        <v>56</v>
      </c>
      <c r="O55" s="19" t="s">
        <v>56</v>
      </c>
      <c r="P55" s="19" t="s">
        <v>56</v>
      </c>
      <c r="Q55" s="20" t="s">
        <v>53</v>
      </c>
      <c r="R55" s="20" t="s">
        <v>53</v>
      </c>
    </row>
    <row r="56" spans="1:18" ht="37.5" customHeight="1">
      <c r="A56" s="15">
        <v>6</v>
      </c>
      <c r="B56" s="21" t="s">
        <v>124</v>
      </c>
      <c r="C56" s="22" t="s">
        <v>164</v>
      </c>
      <c r="D56" s="21" t="s">
        <v>60</v>
      </c>
      <c r="E56" s="21" t="s">
        <v>165</v>
      </c>
      <c r="F56" s="21" t="s">
        <v>166</v>
      </c>
      <c r="G56" s="21" t="s">
        <v>167</v>
      </c>
      <c r="H56" s="21" t="s">
        <v>146</v>
      </c>
      <c r="I56" s="22" t="s">
        <v>147</v>
      </c>
      <c r="J56" s="18" t="s">
        <v>55</v>
      </c>
      <c r="K56" s="19" t="s">
        <v>56</v>
      </c>
      <c r="L56" s="19" t="s">
        <v>56</v>
      </c>
      <c r="M56" s="19" t="s">
        <v>56</v>
      </c>
      <c r="N56" s="19" t="s">
        <v>56</v>
      </c>
      <c r="O56" s="19" t="s">
        <v>56</v>
      </c>
      <c r="P56" s="19" t="s">
        <v>56</v>
      </c>
      <c r="Q56" s="20" t="s">
        <v>53</v>
      </c>
      <c r="R56" s="20" t="s">
        <v>53</v>
      </c>
    </row>
    <row r="57" spans="1:18" ht="37.5" customHeight="1">
      <c r="A57" s="15">
        <v>7</v>
      </c>
      <c r="B57" s="16" t="s">
        <v>49</v>
      </c>
      <c r="C57" s="17" t="s">
        <v>168</v>
      </c>
      <c r="D57" s="16" t="s">
        <v>86</v>
      </c>
      <c r="E57" s="16" t="s">
        <v>86</v>
      </c>
      <c r="F57" s="16" t="s">
        <v>86</v>
      </c>
      <c r="G57" s="16" t="s">
        <v>169</v>
      </c>
      <c r="H57" s="16" t="s">
        <v>170</v>
      </c>
      <c r="I57" s="17" t="s">
        <v>147</v>
      </c>
      <c r="J57" s="18" t="s">
        <v>55</v>
      </c>
      <c r="K57" s="19" t="s">
        <v>56</v>
      </c>
      <c r="L57" s="19" t="s">
        <v>56</v>
      </c>
      <c r="M57" s="19" t="s">
        <v>56</v>
      </c>
      <c r="N57" s="19" t="s">
        <v>56</v>
      </c>
      <c r="O57" s="19" t="s">
        <v>56</v>
      </c>
      <c r="P57" s="19" t="s">
        <v>56</v>
      </c>
      <c r="Q57" s="20" t="s">
        <v>53</v>
      </c>
      <c r="R57" s="20" t="s">
        <v>53</v>
      </c>
    </row>
    <row r="58" spans="1:18" ht="37.5" customHeight="1">
      <c r="A58" s="15">
        <v>8</v>
      </c>
      <c r="B58" s="21" t="s">
        <v>49</v>
      </c>
      <c r="C58" s="22" t="s">
        <v>171</v>
      </c>
      <c r="D58" s="21" t="s">
        <v>172</v>
      </c>
      <c r="E58" s="21" t="s">
        <v>135</v>
      </c>
      <c r="F58" s="21" t="s">
        <v>136</v>
      </c>
      <c r="G58" s="21" t="s">
        <v>173</v>
      </c>
      <c r="H58" s="21" t="s">
        <v>146</v>
      </c>
      <c r="I58" s="22" t="s">
        <v>147</v>
      </c>
      <c r="J58" s="18" t="s">
        <v>55</v>
      </c>
      <c r="K58" s="19" t="s">
        <v>56</v>
      </c>
      <c r="L58" s="19" t="s">
        <v>56</v>
      </c>
      <c r="M58" s="19" t="s">
        <v>56</v>
      </c>
      <c r="N58" s="19" t="s">
        <v>56</v>
      </c>
      <c r="O58" s="19" t="s">
        <v>56</v>
      </c>
      <c r="P58" s="19" t="s">
        <v>56</v>
      </c>
      <c r="Q58" s="20" t="s">
        <v>53</v>
      </c>
      <c r="R58" s="20" t="s">
        <v>53</v>
      </c>
    </row>
    <row r="59" spans="1:18" ht="37.5" customHeight="1">
      <c r="A59" s="15">
        <v>9</v>
      </c>
      <c r="B59" s="16" t="s">
        <v>49</v>
      </c>
      <c r="C59" s="17" t="s">
        <v>174</v>
      </c>
      <c r="D59" s="16" t="s">
        <v>60</v>
      </c>
      <c r="E59" s="16" t="s">
        <v>175</v>
      </c>
      <c r="F59" s="16" t="s">
        <v>175</v>
      </c>
      <c r="G59" s="16" t="s">
        <v>176</v>
      </c>
      <c r="H59" s="16" t="s">
        <v>146</v>
      </c>
      <c r="I59" s="17" t="s">
        <v>147</v>
      </c>
      <c r="J59" s="18" t="s">
        <v>55</v>
      </c>
      <c r="K59" s="19" t="s">
        <v>56</v>
      </c>
      <c r="L59" s="19" t="s">
        <v>56</v>
      </c>
      <c r="M59" s="19" t="s">
        <v>56</v>
      </c>
      <c r="N59" s="19" t="s">
        <v>56</v>
      </c>
      <c r="O59" s="19" t="s">
        <v>56</v>
      </c>
      <c r="P59" s="19" t="s">
        <v>56</v>
      </c>
      <c r="Q59" s="20" t="s">
        <v>53</v>
      </c>
      <c r="R59" s="20" t="s">
        <v>53</v>
      </c>
    </row>
    <row r="60" spans="1:18" ht="37.5" customHeight="1">
      <c r="A60" s="15">
        <v>10</v>
      </c>
      <c r="B60" s="21" t="s">
        <v>10</v>
      </c>
      <c r="C60" s="22" t="s">
        <v>177</v>
      </c>
      <c r="D60" s="21" t="s">
        <v>178</v>
      </c>
      <c r="E60" s="21" t="s">
        <v>179</v>
      </c>
      <c r="F60" s="21" t="s">
        <v>180</v>
      </c>
      <c r="G60" s="21" t="s">
        <v>181</v>
      </c>
      <c r="H60" s="21" t="s">
        <v>182</v>
      </c>
      <c r="I60" s="22" t="s">
        <v>147</v>
      </c>
      <c r="J60" s="18" t="s">
        <v>55</v>
      </c>
      <c r="K60" s="19" t="s">
        <v>56</v>
      </c>
      <c r="L60" s="19" t="s">
        <v>56</v>
      </c>
      <c r="M60" s="19" t="s">
        <v>56</v>
      </c>
      <c r="N60" s="19" t="s">
        <v>56</v>
      </c>
      <c r="O60" s="19" t="s">
        <v>56</v>
      </c>
      <c r="P60" s="19" t="s">
        <v>56</v>
      </c>
      <c r="Q60" s="20" t="s">
        <v>53</v>
      </c>
      <c r="R60" s="20" t="s">
        <v>53</v>
      </c>
    </row>
    <row r="61" spans="1:18" ht="37.5" customHeight="1">
      <c r="A61" s="15">
        <v>11</v>
      </c>
      <c r="B61" s="16" t="s">
        <v>10</v>
      </c>
      <c r="C61" s="17" t="s">
        <v>183</v>
      </c>
      <c r="D61" s="16" t="s">
        <v>178</v>
      </c>
      <c r="E61" s="16" t="s">
        <v>184</v>
      </c>
      <c r="F61" s="16" t="s">
        <v>184</v>
      </c>
      <c r="G61" s="16" t="s">
        <v>185</v>
      </c>
      <c r="H61" s="16" t="s">
        <v>182</v>
      </c>
      <c r="I61" s="17" t="s">
        <v>147</v>
      </c>
      <c r="J61" s="18" t="s">
        <v>55</v>
      </c>
      <c r="K61" s="19" t="s">
        <v>56</v>
      </c>
      <c r="L61" s="19" t="s">
        <v>56</v>
      </c>
      <c r="M61" s="19" t="s">
        <v>56</v>
      </c>
      <c r="N61" s="19" t="s">
        <v>56</v>
      </c>
      <c r="O61" s="19" t="s">
        <v>56</v>
      </c>
      <c r="P61" s="19" t="s">
        <v>56</v>
      </c>
      <c r="Q61" s="20" t="s">
        <v>53</v>
      </c>
      <c r="R61" s="20" t="s">
        <v>53</v>
      </c>
    </row>
    <row r="62" spans="1:18" ht="37.5" customHeight="1">
      <c r="A62" s="15">
        <v>12</v>
      </c>
      <c r="B62" s="21" t="s">
        <v>49</v>
      </c>
      <c r="C62" s="22" t="s">
        <v>186</v>
      </c>
      <c r="D62" s="21" t="s">
        <v>86</v>
      </c>
      <c r="E62" s="21" t="s">
        <v>86</v>
      </c>
      <c r="F62" s="21" t="s">
        <v>86</v>
      </c>
      <c r="G62" s="21" t="s">
        <v>187</v>
      </c>
      <c r="H62" s="21" t="s">
        <v>182</v>
      </c>
      <c r="I62" s="22" t="s">
        <v>147</v>
      </c>
      <c r="J62" s="18" t="s">
        <v>55</v>
      </c>
      <c r="K62" s="19" t="s">
        <v>56</v>
      </c>
      <c r="L62" s="19" t="s">
        <v>56</v>
      </c>
      <c r="M62" s="19" t="s">
        <v>56</v>
      </c>
      <c r="N62" s="19" t="s">
        <v>56</v>
      </c>
      <c r="O62" s="19" t="s">
        <v>56</v>
      </c>
      <c r="P62" s="19" t="s">
        <v>56</v>
      </c>
      <c r="Q62" s="20" t="s">
        <v>53</v>
      </c>
      <c r="R62" s="20" t="s">
        <v>53</v>
      </c>
    </row>
    <row r="64" spans="1:18" ht="30" customHeight="1">
      <c r="A64" s="94" t="s">
        <v>188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</row>
    <row r="65" spans="1:18" ht="49.5" customHeight="1">
      <c r="A65" s="14" t="s">
        <v>4</v>
      </c>
      <c r="B65" s="14" t="s">
        <v>189</v>
      </c>
      <c r="C65" s="14" t="s">
        <v>190</v>
      </c>
      <c r="D65" s="14" t="s">
        <v>139</v>
      </c>
      <c r="E65" s="14" t="s">
        <v>35</v>
      </c>
      <c r="F65" s="14" t="s">
        <v>191</v>
      </c>
      <c r="G65" s="14" t="s">
        <v>192</v>
      </c>
      <c r="H65" s="14" t="s">
        <v>141</v>
      </c>
      <c r="I65" s="14" t="s">
        <v>193</v>
      </c>
      <c r="J65" s="14" t="s">
        <v>41</v>
      </c>
      <c r="K65" s="14" t="s">
        <v>42</v>
      </c>
      <c r="L65" s="14" t="s">
        <v>43</v>
      </c>
      <c r="M65" s="14" t="s">
        <v>19</v>
      </c>
      <c r="N65" s="14" t="s">
        <v>44</v>
      </c>
      <c r="O65" s="14" t="s">
        <v>45</v>
      </c>
      <c r="P65" s="14" t="s">
        <v>46</v>
      </c>
      <c r="Q65" s="14" t="s">
        <v>47</v>
      </c>
      <c r="R65" s="14" t="s">
        <v>48</v>
      </c>
    </row>
    <row r="66" spans="1:18" ht="37.5" customHeight="1">
      <c r="A66" s="15">
        <v>1</v>
      </c>
      <c r="B66" s="16" t="s">
        <v>49</v>
      </c>
      <c r="C66" s="17" t="s">
        <v>194</v>
      </c>
      <c r="D66" s="16" t="s">
        <v>58</v>
      </c>
      <c r="E66" s="16" t="s">
        <v>195</v>
      </c>
      <c r="F66" s="16" t="s">
        <v>196</v>
      </c>
      <c r="G66" s="16" t="s">
        <v>197</v>
      </c>
      <c r="H66" s="16" t="s">
        <v>159</v>
      </c>
      <c r="I66" s="17" t="s">
        <v>198</v>
      </c>
      <c r="J66" s="18" t="s">
        <v>55</v>
      </c>
      <c r="K66" s="19" t="s">
        <v>56</v>
      </c>
      <c r="L66" s="19" t="s">
        <v>56</v>
      </c>
      <c r="M66" s="19" t="s">
        <v>56</v>
      </c>
      <c r="N66" s="19" t="s">
        <v>56</v>
      </c>
      <c r="O66" s="19" t="s">
        <v>56</v>
      </c>
      <c r="P66" s="19" t="s">
        <v>56</v>
      </c>
      <c r="Q66" s="20" t="s">
        <v>53</v>
      </c>
      <c r="R66" s="20" t="s">
        <v>53</v>
      </c>
    </row>
    <row r="67" spans="1:18" ht="37.5" customHeight="1">
      <c r="A67" s="15">
        <v>2</v>
      </c>
      <c r="B67" s="21" t="s">
        <v>61</v>
      </c>
      <c r="C67" s="22" t="s">
        <v>199</v>
      </c>
      <c r="D67" s="21" t="s">
        <v>58</v>
      </c>
      <c r="E67" s="21" t="s">
        <v>200</v>
      </c>
      <c r="F67" s="21" t="s">
        <v>201</v>
      </c>
      <c r="G67" s="21" t="s">
        <v>202</v>
      </c>
      <c r="H67" s="21" t="s">
        <v>159</v>
      </c>
      <c r="I67" s="22" t="s">
        <v>198</v>
      </c>
      <c r="J67" s="18" t="s">
        <v>55</v>
      </c>
      <c r="K67" s="19" t="s">
        <v>56</v>
      </c>
      <c r="L67" s="19" t="s">
        <v>56</v>
      </c>
      <c r="M67" s="19" t="s">
        <v>56</v>
      </c>
      <c r="N67" s="19" t="s">
        <v>56</v>
      </c>
      <c r="O67" s="19" t="s">
        <v>56</v>
      </c>
      <c r="P67" s="19" t="s">
        <v>56</v>
      </c>
      <c r="Q67" s="20" t="s">
        <v>53</v>
      </c>
      <c r="R67" s="20" t="s">
        <v>53</v>
      </c>
    </row>
    <row r="68" spans="1:18" ht="37.5" customHeight="1">
      <c r="A68" s="15">
        <v>3</v>
      </c>
      <c r="B68" s="16" t="s">
        <v>65</v>
      </c>
      <c r="C68" s="17" t="s">
        <v>203</v>
      </c>
      <c r="D68" s="16" t="s">
        <v>58</v>
      </c>
      <c r="E68" s="16" t="s">
        <v>58</v>
      </c>
      <c r="F68" s="16" t="s">
        <v>204</v>
      </c>
      <c r="G68" s="16" t="s">
        <v>205</v>
      </c>
      <c r="H68" s="16" t="s">
        <v>146</v>
      </c>
      <c r="I68" s="17" t="s">
        <v>198</v>
      </c>
      <c r="J68" s="18" t="s">
        <v>55</v>
      </c>
      <c r="K68" s="19" t="s">
        <v>56</v>
      </c>
      <c r="L68" s="19" t="s">
        <v>56</v>
      </c>
      <c r="M68" s="19" t="s">
        <v>56</v>
      </c>
      <c r="N68" s="19" t="s">
        <v>56</v>
      </c>
      <c r="O68" s="19" t="s">
        <v>56</v>
      </c>
      <c r="P68" s="19" t="s">
        <v>56</v>
      </c>
      <c r="Q68" s="20" t="s">
        <v>53</v>
      </c>
      <c r="R68" s="20" t="s">
        <v>53</v>
      </c>
    </row>
    <row r="69" spans="1:18" ht="37.5" customHeight="1">
      <c r="A69" s="15">
        <v>4</v>
      </c>
      <c r="B69" s="21" t="s">
        <v>69</v>
      </c>
      <c r="C69" s="22" t="s">
        <v>206</v>
      </c>
      <c r="D69" s="21" t="s">
        <v>58</v>
      </c>
      <c r="E69" s="21" t="s">
        <v>58</v>
      </c>
      <c r="F69" s="21" t="s">
        <v>207</v>
      </c>
      <c r="G69" s="21" t="s">
        <v>208</v>
      </c>
      <c r="H69" s="21" t="s">
        <v>146</v>
      </c>
      <c r="I69" s="22" t="s">
        <v>198</v>
      </c>
      <c r="J69" s="18" t="s">
        <v>55</v>
      </c>
      <c r="K69" s="19" t="s">
        <v>56</v>
      </c>
      <c r="L69" s="19" t="s">
        <v>56</v>
      </c>
      <c r="M69" s="19" t="s">
        <v>56</v>
      </c>
      <c r="N69" s="19" t="s">
        <v>56</v>
      </c>
      <c r="O69" s="19" t="s">
        <v>56</v>
      </c>
      <c r="P69" s="19" t="s">
        <v>56</v>
      </c>
      <c r="Q69" s="20" t="s">
        <v>53</v>
      </c>
      <c r="R69" s="20" t="s">
        <v>53</v>
      </c>
    </row>
    <row r="70" spans="1:18" ht="37.5" customHeight="1">
      <c r="A70" s="15">
        <v>5</v>
      </c>
      <c r="B70" s="16" t="s">
        <v>49</v>
      </c>
      <c r="C70" s="17" t="s">
        <v>209</v>
      </c>
      <c r="D70" s="16" t="s">
        <v>86</v>
      </c>
      <c r="E70" s="16" t="s">
        <v>86</v>
      </c>
      <c r="F70" s="16" t="s">
        <v>210</v>
      </c>
      <c r="G70" s="16" t="s">
        <v>211</v>
      </c>
      <c r="H70" s="16" t="s">
        <v>159</v>
      </c>
      <c r="I70" s="17" t="s">
        <v>198</v>
      </c>
      <c r="J70" s="18" t="s">
        <v>55</v>
      </c>
      <c r="K70" s="19" t="s">
        <v>56</v>
      </c>
      <c r="L70" s="19" t="s">
        <v>56</v>
      </c>
      <c r="M70" s="19" t="s">
        <v>56</v>
      </c>
      <c r="N70" s="19" t="s">
        <v>56</v>
      </c>
      <c r="O70" s="19" t="s">
        <v>56</v>
      </c>
      <c r="P70" s="19" t="s">
        <v>56</v>
      </c>
      <c r="Q70" s="20" t="s">
        <v>53</v>
      </c>
      <c r="R70" s="20" t="s">
        <v>53</v>
      </c>
    </row>
    <row r="71" spans="1:18" ht="37.5" customHeight="1">
      <c r="A71" s="15">
        <v>6</v>
      </c>
      <c r="B71" s="21" t="s">
        <v>10</v>
      </c>
      <c r="C71" s="22" t="s">
        <v>212</v>
      </c>
      <c r="D71" s="21" t="s">
        <v>86</v>
      </c>
      <c r="E71" s="21" t="s">
        <v>86</v>
      </c>
      <c r="F71" s="21" t="s">
        <v>213</v>
      </c>
      <c r="G71" s="21" t="s">
        <v>214</v>
      </c>
      <c r="H71" s="21" t="s">
        <v>159</v>
      </c>
      <c r="I71" s="22" t="s">
        <v>198</v>
      </c>
      <c r="J71" s="18" t="s">
        <v>55</v>
      </c>
      <c r="K71" s="19" t="s">
        <v>56</v>
      </c>
      <c r="L71" s="19" t="s">
        <v>56</v>
      </c>
      <c r="M71" s="19" t="s">
        <v>56</v>
      </c>
      <c r="N71" s="19" t="s">
        <v>56</v>
      </c>
      <c r="O71" s="19" t="s">
        <v>56</v>
      </c>
      <c r="P71" s="19" t="s">
        <v>56</v>
      </c>
      <c r="Q71" s="20" t="s">
        <v>53</v>
      </c>
      <c r="R71" s="20" t="s">
        <v>53</v>
      </c>
    </row>
    <row r="72" spans="1:18" ht="37.5" customHeight="1">
      <c r="A72" s="15">
        <v>7</v>
      </c>
      <c r="B72" s="16" t="s">
        <v>49</v>
      </c>
      <c r="C72" s="17" t="s">
        <v>215</v>
      </c>
      <c r="D72" s="16" t="s">
        <v>86</v>
      </c>
      <c r="E72" s="16" t="s">
        <v>86</v>
      </c>
      <c r="F72" s="16" t="s">
        <v>216</v>
      </c>
      <c r="G72" s="16" t="s">
        <v>217</v>
      </c>
      <c r="H72" s="16" t="s">
        <v>146</v>
      </c>
      <c r="I72" s="17" t="s">
        <v>198</v>
      </c>
      <c r="J72" s="18" t="s">
        <v>55</v>
      </c>
      <c r="K72" s="19" t="s">
        <v>56</v>
      </c>
      <c r="L72" s="19" t="s">
        <v>56</v>
      </c>
      <c r="M72" s="19" t="s">
        <v>56</v>
      </c>
      <c r="N72" s="19" t="s">
        <v>56</v>
      </c>
      <c r="O72" s="19" t="s">
        <v>56</v>
      </c>
      <c r="P72" s="19" t="s">
        <v>56</v>
      </c>
      <c r="Q72" s="20" t="s">
        <v>53</v>
      </c>
      <c r="R72" s="20" t="s">
        <v>53</v>
      </c>
    </row>
    <row r="73" spans="1:18" ht="37.5" customHeight="1">
      <c r="A73" s="15">
        <v>8</v>
      </c>
      <c r="B73" s="21" t="s">
        <v>124</v>
      </c>
      <c r="C73" s="22" t="s">
        <v>218</v>
      </c>
      <c r="D73" s="21" t="s">
        <v>86</v>
      </c>
      <c r="E73" s="21" t="s">
        <v>86</v>
      </c>
      <c r="F73" s="21" t="s">
        <v>219</v>
      </c>
      <c r="G73" s="21" t="s">
        <v>220</v>
      </c>
      <c r="H73" s="21" t="s">
        <v>159</v>
      </c>
      <c r="I73" s="22" t="s">
        <v>198</v>
      </c>
      <c r="J73" s="18" t="s">
        <v>55</v>
      </c>
      <c r="K73" s="19" t="s">
        <v>56</v>
      </c>
      <c r="L73" s="19" t="s">
        <v>56</v>
      </c>
      <c r="M73" s="19" t="s">
        <v>56</v>
      </c>
      <c r="N73" s="19" t="s">
        <v>56</v>
      </c>
      <c r="O73" s="19" t="s">
        <v>56</v>
      </c>
      <c r="P73" s="19" t="s">
        <v>56</v>
      </c>
      <c r="Q73" s="20" t="s">
        <v>53</v>
      </c>
      <c r="R73" s="20" t="s">
        <v>53</v>
      </c>
    </row>
    <row r="74" spans="1:18" ht="37.5" customHeight="1">
      <c r="A74" s="15">
        <v>9</v>
      </c>
      <c r="B74" s="16" t="s">
        <v>49</v>
      </c>
      <c r="C74" s="17" t="s">
        <v>221</v>
      </c>
      <c r="D74" s="16" t="s">
        <v>86</v>
      </c>
      <c r="E74" s="16" t="s">
        <v>86</v>
      </c>
      <c r="F74" s="16" t="s">
        <v>222</v>
      </c>
      <c r="G74" s="16" t="s">
        <v>217</v>
      </c>
      <c r="H74" s="16" t="s">
        <v>182</v>
      </c>
      <c r="I74" s="17" t="s">
        <v>198</v>
      </c>
      <c r="J74" s="18" t="s">
        <v>55</v>
      </c>
      <c r="K74" s="19" t="s">
        <v>56</v>
      </c>
      <c r="L74" s="19" t="s">
        <v>56</v>
      </c>
      <c r="M74" s="19" t="s">
        <v>56</v>
      </c>
      <c r="N74" s="19" t="s">
        <v>56</v>
      </c>
      <c r="O74" s="19" t="s">
        <v>56</v>
      </c>
      <c r="P74" s="19" t="s">
        <v>56</v>
      </c>
      <c r="Q74" s="20" t="s">
        <v>53</v>
      </c>
      <c r="R74" s="20" t="s">
        <v>53</v>
      </c>
    </row>
    <row r="75" spans="1:18" ht="37.5" customHeight="1">
      <c r="A75" s="15">
        <v>10</v>
      </c>
      <c r="B75" s="21" t="s">
        <v>49</v>
      </c>
      <c r="C75" s="22" t="s">
        <v>223</v>
      </c>
      <c r="D75" s="21" t="s">
        <v>86</v>
      </c>
      <c r="E75" s="21" t="s">
        <v>86</v>
      </c>
      <c r="F75" s="21" t="s">
        <v>224</v>
      </c>
      <c r="G75" s="21" t="s">
        <v>225</v>
      </c>
      <c r="H75" s="21" t="s">
        <v>146</v>
      </c>
      <c r="I75" s="22" t="s">
        <v>198</v>
      </c>
      <c r="J75" s="18" t="s">
        <v>55</v>
      </c>
      <c r="K75" s="19" t="s">
        <v>56</v>
      </c>
      <c r="L75" s="19" t="s">
        <v>56</v>
      </c>
      <c r="M75" s="19" t="s">
        <v>56</v>
      </c>
      <c r="N75" s="19" t="s">
        <v>56</v>
      </c>
      <c r="O75" s="19" t="s">
        <v>56</v>
      </c>
      <c r="P75" s="19" t="s">
        <v>56</v>
      </c>
      <c r="Q75" s="20" t="s">
        <v>53</v>
      </c>
      <c r="R75" s="20" t="s">
        <v>53</v>
      </c>
    </row>
    <row r="76" spans="1:18" ht="37.5" customHeight="1">
      <c r="A76" s="15">
        <v>11</v>
      </c>
      <c r="B76" s="16" t="s">
        <v>49</v>
      </c>
      <c r="C76" s="17" t="s">
        <v>226</v>
      </c>
      <c r="D76" s="16" t="s">
        <v>227</v>
      </c>
      <c r="E76" s="16" t="s">
        <v>170</v>
      </c>
      <c r="F76" s="16" t="s">
        <v>228</v>
      </c>
      <c r="G76" s="16" t="s">
        <v>197</v>
      </c>
      <c r="H76" s="16" t="s">
        <v>146</v>
      </c>
      <c r="I76" s="17" t="s">
        <v>198</v>
      </c>
      <c r="J76" s="18" t="s">
        <v>55</v>
      </c>
      <c r="K76" s="19" t="s">
        <v>56</v>
      </c>
      <c r="L76" s="19" t="s">
        <v>56</v>
      </c>
      <c r="M76" s="19" t="s">
        <v>56</v>
      </c>
      <c r="N76" s="19" t="s">
        <v>56</v>
      </c>
      <c r="O76" s="19" t="s">
        <v>56</v>
      </c>
      <c r="P76" s="19" t="s">
        <v>56</v>
      </c>
      <c r="Q76" s="20" t="s">
        <v>53</v>
      </c>
      <c r="R76" s="20" t="s">
        <v>53</v>
      </c>
    </row>
    <row r="77" spans="1:18" ht="37.5" customHeight="1">
      <c r="A77" s="15">
        <v>12</v>
      </c>
      <c r="B77" s="21" t="s">
        <v>113</v>
      </c>
      <c r="C77" s="22" t="s">
        <v>229</v>
      </c>
      <c r="D77" s="21" t="s">
        <v>227</v>
      </c>
      <c r="E77" s="21" t="s">
        <v>170</v>
      </c>
      <c r="F77" s="21" t="s">
        <v>230</v>
      </c>
      <c r="G77" s="21" t="s">
        <v>231</v>
      </c>
      <c r="H77" s="21" t="s">
        <v>146</v>
      </c>
      <c r="I77" s="22" t="s">
        <v>198</v>
      </c>
      <c r="J77" s="18" t="s">
        <v>55</v>
      </c>
      <c r="K77" s="19" t="s">
        <v>56</v>
      </c>
      <c r="L77" s="19" t="s">
        <v>56</v>
      </c>
      <c r="M77" s="19" t="s">
        <v>56</v>
      </c>
      <c r="N77" s="19" t="s">
        <v>56</v>
      </c>
      <c r="O77" s="19" t="s">
        <v>56</v>
      </c>
      <c r="P77" s="19" t="s">
        <v>56</v>
      </c>
      <c r="Q77" s="20" t="s">
        <v>53</v>
      </c>
      <c r="R77" s="20" t="s">
        <v>53</v>
      </c>
    </row>
    <row r="79" spans="1:18" ht="31.5" customHeight="1">
      <c r="A79" s="95" t="s">
        <v>232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</row>
    <row r="80" spans="1:18" ht="31.5" customHeight="1">
      <c r="A80" s="89" t="s">
        <v>233</v>
      </c>
      <c r="B80" s="89"/>
      <c r="C80" s="89"/>
      <c r="D80" s="91" t="s">
        <v>10</v>
      </c>
      <c r="E80" s="91"/>
      <c r="F80" s="91"/>
      <c r="G80" s="89" t="s">
        <v>234</v>
      </c>
      <c r="H80" s="89"/>
      <c r="I80" s="89"/>
      <c r="J80" s="89"/>
      <c r="K80" s="89"/>
      <c r="L80" s="89"/>
      <c r="M80" s="96" t="s">
        <v>56</v>
      </c>
      <c r="N80" s="96"/>
      <c r="O80" s="96"/>
      <c r="P80" s="96"/>
      <c r="Q80" s="96"/>
      <c r="R80" s="96"/>
    </row>
    <row r="81" spans="1:18" ht="27.75" customHeight="1">
      <c r="A81" s="89" t="s">
        <v>235</v>
      </c>
      <c r="B81" s="89"/>
      <c r="C81" s="89"/>
      <c r="D81" s="89"/>
      <c r="E81" s="89"/>
      <c r="F81" s="89"/>
      <c r="G81" s="4" t="s">
        <v>42</v>
      </c>
      <c r="H81" s="4" t="s">
        <v>43</v>
      </c>
      <c r="I81" s="4" t="s">
        <v>19</v>
      </c>
      <c r="J81" s="4" t="s">
        <v>44</v>
      </c>
      <c r="K81" s="4" t="s">
        <v>45</v>
      </c>
      <c r="L81" s="4" t="s">
        <v>46</v>
      </c>
      <c r="M81" s="89" t="s">
        <v>236</v>
      </c>
      <c r="N81" s="89"/>
      <c r="O81" s="89"/>
      <c r="P81" s="89"/>
      <c r="Q81" s="89"/>
      <c r="R81" s="89"/>
    </row>
    <row r="82" spans="1:18" ht="31.5" customHeight="1">
      <c r="A82" s="90" t="s">
        <v>237</v>
      </c>
      <c r="B82" s="90"/>
      <c r="C82" s="90"/>
      <c r="D82" s="90"/>
      <c r="E82" s="90"/>
      <c r="F82" s="90"/>
      <c r="G82" s="18" t="s">
        <v>56</v>
      </c>
      <c r="H82" s="18" t="s">
        <v>56</v>
      </c>
      <c r="I82" s="18" t="s">
        <v>56</v>
      </c>
      <c r="J82" s="18" t="s">
        <v>56</v>
      </c>
      <c r="K82" s="18" t="s">
        <v>56</v>
      </c>
      <c r="L82" s="18" t="s">
        <v>56</v>
      </c>
      <c r="M82" s="91" t="s">
        <v>238</v>
      </c>
      <c r="N82" s="91"/>
      <c r="O82" s="91"/>
      <c r="P82" s="91"/>
      <c r="Q82" s="91"/>
      <c r="R82" s="91"/>
    </row>
    <row r="83" spans="1:18" ht="36" customHeight="1">
      <c r="A83" s="92" t="s">
        <v>239</v>
      </c>
      <c r="B83" s="92"/>
      <c r="C83" s="92"/>
      <c r="D83" s="92"/>
      <c r="E83" s="92"/>
      <c r="F83" s="92"/>
      <c r="G83" s="86" t="s">
        <v>240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</row>
  </sheetData>
  <mergeCells count="18">
    <mergeCell ref="A1:R1"/>
    <mergeCell ref="A2:R2"/>
    <mergeCell ref="A3:R3"/>
    <mergeCell ref="A4:R4"/>
    <mergeCell ref="A6:R6"/>
    <mergeCell ref="A49:R49"/>
    <mergeCell ref="A64:R64"/>
    <mergeCell ref="A79:R79"/>
    <mergeCell ref="A80:C80"/>
    <mergeCell ref="D80:F80"/>
    <mergeCell ref="G80:L80"/>
    <mergeCell ref="M80:R80"/>
    <mergeCell ref="A81:F81"/>
    <mergeCell ref="M81:R81"/>
    <mergeCell ref="A82:F82"/>
    <mergeCell ref="M82:R82"/>
    <mergeCell ref="A83:F83"/>
    <mergeCell ref="G83:R8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showGridLines="0" rightToLeft="1" tabSelected="1" zoomScaleNormal="100" workbookViewId="0">
      <pane xSplit="4" ySplit="7" topLeftCell="E15" activePane="bottomRight" state="frozen"/>
      <selection pane="topRight" activeCell="E1" sqref="E1"/>
      <selection pane="bottomLeft" activeCell="A28" sqref="A28"/>
      <selection pane="bottomRight" activeCell="C11" sqref="C11:C20"/>
    </sheetView>
  </sheetViews>
  <sheetFormatPr baseColWidth="10" defaultColWidth="8.6640625" defaultRowHeight="15"/>
  <cols>
    <col min="1" max="1" width="5" customWidth="1"/>
    <col min="2" max="2" width="35" customWidth="1"/>
    <col min="3" max="3" width="22" customWidth="1"/>
    <col min="4" max="4" width="55" customWidth="1"/>
    <col min="5" max="10" width="11" customWidth="1"/>
    <col min="11" max="11" width="24" customWidth="1"/>
    <col min="12" max="14" width="12" customWidth="1"/>
    <col min="15" max="15" width="14" customWidth="1"/>
    <col min="16" max="16" width="32" customWidth="1"/>
  </cols>
  <sheetData>
    <row r="1" spans="1:16" ht="49.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ht="25.5" customHeight="1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16" ht="27.75" customHeight="1">
      <c r="A3" s="89" t="s">
        <v>241</v>
      </c>
      <c r="B3" s="89"/>
      <c r="C3" s="89"/>
      <c r="D3" s="89"/>
      <c r="E3" s="5" t="s">
        <v>19</v>
      </c>
      <c r="F3" s="114" t="str">
        <f>IF($E$3="1M",E36,IF($E$3="5M",F36,IF($E$3="15M",G36,IF($E$3="30M",H36,IF($E$3="1H",I36,IF($E$3="4H",J36,""))))))</f>
        <v>محايد ⚪</v>
      </c>
      <c r="G3" s="114"/>
      <c r="H3" s="114"/>
      <c r="I3" s="115" t="str">
        <f>"ثقة: "&amp;TEXT(IF($E$3="1M",E37,IF($E$3="5M",F37,IF($E$3="15M",G37,IF($E$3="30M",H37,IF($E$3="1H",I37,IF($E$3="4H",J37,0)))))),"0.0%")</f>
        <v>ثقة: 0.0%</v>
      </c>
      <c r="J3" s="115"/>
      <c r="K3" s="115"/>
      <c r="L3" s="90" t="str">
        <f>"مساهمة الجدول: "&amp;TEXT(IF($E$3="1M",E35,IF($E$3="5M",F35,IF($E$3="15M",G35,IF($E$3="30M",H35,IF($E$3="1H",I35,IF($E$3="4H",J35,0)))))),"+0.000%;-0.000%;0%")&amp;" من 30%"</f>
        <v>مساهمة الجدول: 0% من 30%</v>
      </c>
      <c r="M3" s="90"/>
      <c r="N3" s="90"/>
      <c r="O3" s="90"/>
      <c r="P3" s="90"/>
    </row>
    <row r="4" spans="1:16" ht="30" customHeight="1">
      <c r="A4" s="86" t="s">
        <v>242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 ht="60" customHeight="1">
      <c r="A5" s="113" t="s">
        <v>243</v>
      </c>
      <c r="B5" s="113" t="s">
        <v>244</v>
      </c>
      <c r="C5" s="113" t="s">
        <v>245</v>
      </c>
      <c r="D5" s="113" t="s">
        <v>246</v>
      </c>
      <c r="E5" s="113" t="s">
        <v>247</v>
      </c>
      <c r="F5" s="113"/>
      <c r="G5" s="113"/>
      <c r="H5" s="113"/>
      <c r="I5" s="113"/>
      <c r="J5" s="113"/>
      <c r="K5" s="113"/>
      <c r="L5" s="113" t="s">
        <v>248</v>
      </c>
      <c r="M5" s="113" t="s">
        <v>249</v>
      </c>
      <c r="N5" s="113" t="s">
        <v>250</v>
      </c>
      <c r="O5" s="113" t="s">
        <v>251</v>
      </c>
      <c r="P5" s="113" t="s">
        <v>252</v>
      </c>
    </row>
    <row r="6" spans="1:16" ht="18" customHeight="1">
      <c r="A6" s="113"/>
      <c r="B6" s="113"/>
      <c r="C6" s="113"/>
      <c r="D6" s="113"/>
      <c r="L6" s="113"/>
      <c r="M6" s="113"/>
      <c r="N6" s="113"/>
      <c r="O6" s="113"/>
      <c r="P6" s="113"/>
    </row>
    <row r="7" spans="1:16" ht="36" customHeight="1">
      <c r="A7" s="113"/>
      <c r="B7" s="113"/>
      <c r="C7" s="113"/>
      <c r="D7" s="113"/>
      <c r="E7" s="24" t="s">
        <v>42</v>
      </c>
      <c r="F7" s="24" t="s">
        <v>43</v>
      </c>
      <c r="G7" s="24" t="s">
        <v>19</v>
      </c>
      <c r="H7" s="24" t="s">
        <v>44</v>
      </c>
      <c r="I7" s="24" t="s">
        <v>45</v>
      </c>
      <c r="J7" s="24" t="s">
        <v>46</v>
      </c>
      <c r="K7" s="24" t="s">
        <v>253</v>
      </c>
      <c r="L7" s="113"/>
      <c r="M7" s="113"/>
      <c r="N7" s="113"/>
      <c r="O7" s="113"/>
      <c r="P7" s="113"/>
    </row>
    <row r="8" spans="1:16" ht="99.75" customHeight="1">
      <c r="A8" s="25">
        <v>1</v>
      </c>
      <c r="B8" s="26" t="s">
        <v>254</v>
      </c>
      <c r="C8" s="100" t="s">
        <v>255</v>
      </c>
      <c r="D8" s="17" t="s">
        <v>256</v>
      </c>
      <c r="E8" s="18" t="s">
        <v>257</v>
      </c>
      <c r="F8" s="18" t="s">
        <v>257</v>
      </c>
      <c r="G8" s="18" t="s">
        <v>257</v>
      </c>
      <c r="H8" s="18" t="s">
        <v>257</v>
      </c>
      <c r="I8" s="18" t="s">
        <v>257</v>
      </c>
      <c r="J8" s="18" t="s">
        <v>257</v>
      </c>
      <c r="K8" s="16" t="str">
        <f t="shared" ref="K8:K30" si="0">(IF(E8="شراء",1,0)+IF(F8="شراء",1,0)+IF(G8="شراء",1,0)+IF(H8="شراء",1,0)+IF(I8="شراء",1,0)+IF(J8="شراء",1,0))&amp;" شراء  •  "&amp;(IF(E8="بيع",1,0)+IF(F8="بيع",1,0)+IF(G8="بيع",1,0)+IF(H8="بيع",1,0)+IF(I8="بيع",1,0)+IF(J8="بيع",1,0))&amp;" بيع  •  "&amp;(IF(E8="محايد",1,0)+IF(F8="محايد",1,0)+IF(G8="محايد",1,0)+IF(H8="محايد",1,0)+IF(I8="محايد",1,0)+IF(J8="محايد",1,0))&amp;" محايد"</f>
        <v>0 شراء  •  0 بيع  •  6 محايد</v>
      </c>
      <c r="L8" s="28">
        <f t="shared" ref="L8:L30" si="1">((IF(E8="شراء",1,IF(E8="بيع",-1,0))*5)+(IF(F8="شراء",1,IF(F8="بيع",-1,0))*10)+(IF(G8="شراء",1,IF(G8="بيع",-1,0))*20)+(IF(H8="شراء",1,IF(H8="بيع",-1,0))*18)+(IF(I8="شراء",1,IF(I8="بيع",-1,0))*22)+(IF(J8="شراء",1,IF(J8="بيع",-1,0))*25))/100</f>
        <v>0</v>
      </c>
      <c r="M8" s="29">
        <v>1.6901408450704199E-2</v>
      </c>
      <c r="N8" s="30">
        <f t="shared" ref="N8:N30" si="2">ABS(L8)</f>
        <v>0</v>
      </c>
      <c r="O8" s="31" t="str">
        <f t="shared" ref="O8:O30" si="3">IF($E$3="1M",E8,IF($E$3="5M",F8,IF($E$3="15M",G8,IF($E$3="30M",H8,IF($E$3="1H",I8,IF($E$3="4H",J8,"محايد"))))))</f>
        <v>محايد</v>
      </c>
      <c r="P8" s="32" t="s">
        <v>258</v>
      </c>
    </row>
    <row r="9" spans="1:16" ht="99.75" customHeight="1">
      <c r="A9" s="25">
        <v>2</v>
      </c>
      <c r="B9" s="26" t="s">
        <v>259</v>
      </c>
      <c r="C9" s="101"/>
      <c r="D9" s="22" t="s">
        <v>260</v>
      </c>
      <c r="E9" s="18" t="s">
        <v>257</v>
      </c>
      <c r="F9" s="18" t="s">
        <v>257</v>
      </c>
      <c r="G9" s="18" t="s">
        <v>257</v>
      </c>
      <c r="H9" s="18" t="s">
        <v>257</v>
      </c>
      <c r="I9" s="18" t="s">
        <v>257</v>
      </c>
      <c r="J9" s="18" t="s">
        <v>257</v>
      </c>
      <c r="K9" s="21" t="str">
        <f t="shared" si="0"/>
        <v>0 شراء  •  0 بيع  •  6 محايد</v>
      </c>
      <c r="L9" s="33">
        <f t="shared" si="1"/>
        <v>0</v>
      </c>
      <c r="M9" s="29">
        <v>1.6901408450704199E-2</v>
      </c>
      <c r="N9" s="34">
        <f t="shared" si="2"/>
        <v>0</v>
      </c>
      <c r="O9" s="31" t="str">
        <f t="shared" si="3"/>
        <v>محايد</v>
      </c>
      <c r="P9" s="32" t="s">
        <v>261</v>
      </c>
    </row>
    <row r="10" spans="1:16" ht="99.75" customHeight="1">
      <c r="A10" s="25">
        <v>3</v>
      </c>
      <c r="B10" s="35" t="s">
        <v>262</v>
      </c>
      <c r="C10" s="102"/>
      <c r="D10" s="17" t="s">
        <v>263</v>
      </c>
      <c r="E10" s="18" t="s">
        <v>257</v>
      </c>
      <c r="F10" s="18" t="s">
        <v>257</v>
      </c>
      <c r="G10" s="18" t="s">
        <v>257</v>
      </c>
      <c r="H10" s="18" t="s">
        <v>257</v>
      </c>
      <c r="I10" s="18" t="s">
        <v>257</v>
      </c>
      <c r="J10" s="18" t="s">
        <v>257</v>
      </c>
      <c r="K10" s="16" t="str">
        <f t="shared" si="0"/>
        <v>0 شراء  •  0 بيع  •  6 محايد</v>
      </c>
      <c r="L10" s="28">
        <f t="shared" si="1"/>
        <v>0</v>
      </c>
      <c r="M10" s="29">
        <v>1.2676056338028201E-2</v>
      </c>
      <c r="N10" s="30">
        <f t="shared" si="2"/>
        <v>0</v>
      </c>
      <c r="O10" s="31" t="str">
        <f t="shared" si="3"/>
        <v>محايد</v>
      </c>
      <c r="P10" s="32" t="s">
        <v>264</v>
      </c>
    </row>
    <row r="11" spans="1:16" ht="99.75" customHeight="1">
      <c r="A11" s="36">
        <v>4</v>
      </c>
      <c r="B11" s="35" t="s">
        <v>265</v>
      </c>
      <c r="C11" s="106" t="s">
        <v>266</v>
      </c>
      <c r="D11" s="22" t="s">
        <v>267</v>
      </c>
      <c r="E11" s="18" t="s">
        <v>257</v>
      </c>
      <c r="F11" s="18" t="s">
        <v>257</v>
      </c>
      <c r="G11" s="18" t="s">
        <v>257</v>
      </c>
      <c r="H11" s="18" t="s">
        <v>257</v>
      </c>
      <c r="I11" s="18" t="s">
        <v>257</v>
      </c>
      <c r="J11" s="18" t="s">
        <v>257</v>
      </c>
      <c r="K11" s="21" t="str">
        <f t="shared" si="0"/>
        <v>0 شراء  •  0 بيع  •  6 محايد</v>
      </c>
      <c r="L11" s="33">
        <f t="shared" si="1"/>
        <v>0</v>
      </c>
      <c r="M11" s="29">
        <v>1.2676056338028201E-2</v>
      </c>
      <c r="N11" s="34">
        <f t="shared" si="2"/>
        <v>0</v>
      </c>
      <c r="O11" s="31" t="str">
        <f t="shared" si="3"/>
        <v>محايد</v>
      </c>
      <c r="P11" s="32" t="s">
        <v>268</v>
      </c>
    </row>
    <row r="12" spans="1:16" ht="99.75" customHeight="1">
      <c r="A12" s="36">
        <v>5</v>
      </c>
      <c r="B12" s="38" t="s">
        <v>269</v>
      </c>
      <c r="C12" s="107"/>
      <c r="D12" s="17" t="s">
        <v>270</v>
      </c>
      <c r="E12" s="18" t="s">
        <v>257</v>
      </c>
      <c r="F12" s="18" t="s">
        <v>257</v>
      </c>
      <c r="G12" s="18" t="s">
        <v>257</v>
      </c>
      <c r="H12" s="18" t="s">
        <v>257</v>
      </c>
      <c r="I12" s="18" t="s">
        <v>257</v>
      </c>
      <c r="J12" s="18" t="s">
        <v>257</v>
      </c>
      <c r="K12" s="16" t="str">
        <f t="shared" si="0"/>
        <v>0 شراء  •  0 بيع  •  6 محايد</v>
      </c>
      <c r="L12" s="28">
        <f t="shared" si="1"/>
        <v>0</v>
      </c>
      <c r="M12" s="29">
        <v>8.4507042253521101E-3</v>
      </c>
      <c r="N12" s="30">
        <f t="shared" si="2"/>
        <v>0</v>
      </c>
      <c r="O12" s="31" t="str">
        <f t="shared" si="3"/>
        <v>محايد</v>
      </c>
      <c r="P12" s="32" t="s">
        <v>271</v>
      </c>
    </row>
    <row r="13" spans="1:16" ht="99.75" customHeight="1">
      <c r="A13" s="36">
        <v>6</v>
      </c>
      <c r="B13" s="35" t="s">
        <v>272</v>
      </c>
      <c r="C13" s="107"/>
      <c r="D13" s="22" t="s">
        <v>273</v>
      </c>
      <c r="E13" s="18" t="s">
        <v>257</v>
      </c>
      <c r="F13" s="18" t="s">
        <v>257</v>
      </c>
      <c r="G13" s="18" t="s">
        <v>257</v>
      </c>
      <c r="H13" s="18" t="s">
        <v>257</v>
      </c>
      <c r="I13" s="18" t="s">
        <v>257</v>
      </c>
      <c r="J13" s="18" t="s">
        <v>257</v>
      </c>
      <c r="K13" s="21" t="str">
        <f t="shared" si="0"/>
        <v>0 شراء  •  0 بيع  •  6 محايد</v>
      </c>
      <c r="L13" s="33">
        <f t="shared" si="1"/>
        <v>0</v>
      </c>
      <c r="M13" s="29">
        <v>1.2676056338028201E-2</v>
      </c>
      <c r="N13" s="34">
        <f t="shared" si="2"/>
        <v>0</v>
      </c>
      <c r="O13" s="31" t="str">
        <f t="shared" si="3"/>
        <v>محايد</v>
      </c>
      <c r="P13" s="32" t="s">
        <v>274</v>
      </c>
    </row>
    <row r="14" spans="1:16" ht="99.75" customHeight="1">
      <c r="A14" s="36">
        <v>7</v>
      </c>
      <c r="B14" s="38" t="s">
        <v>275</v>
      </c>
      <c r="C14" s="107"/>
      <c r="D14" s="17" t="s">
        <v>276</v>
      </c>
      <c r="E14" s="18" t="s">
        <v>257</v>
      </c>
      <c r="F14" s="18" t="s">
        <v>257</v>
      </c>
      <c r="G14" s="18" t="s">
        <v>257</v>
      </c>
      <c r="H14" s="18" t="s">
        <v>257</v>
      </c>
      <c r="I14" s="18" t="s">
        <v>257</v>
      </c>
      <c r="J14" s="18" t="s">
        <v>257</v>
      </c>
      <c r="K14" s="16" t="str">
        <f t="shared" si="0"/>
        <v>0 شراء  •  0 بيع  •  6 محايد</v>
      </c>
      <c r="L14" s="28">
        <f t="shared" si="1"/>
        <v>0</v>
      </c>
      <c r="M14" s="29">
        <v>8.4507042253521101E-3</v>
      </c>
      <c r="N14" s="30">
        <f t="shared" si="2"/>
        <v>0</v>
      </c>
      <c r="O14" s="31" t="str">
        <f t="shared" si="3"/>
        <v>محايد</v>
      </c>
      <c r="P14" s="32" t="s">
        <v>277</v>
      </c>
    </row>
    <row r="15" spans="1:16" ht="99.75" customHeight="1">
      <c r="A15" s="36">
        <v>8</v>
      </c>
      <c r="B15" s="38" t="s">
        <v>278</v>
      </c>
      <c r="C15" s="107"/>
      <c r="D15" s="22" t="s">
        <v>279</v>
      </c>
      <c r="E15" s="18" t="s">
        <v>257</v>
      </c>
      <c r="F15" s="18" t="s">
        <v>257</v>
      </c>
      <c r="G15" s="18" t="s">
        <v>257</v>
      </c>
      <c r="H15" s="18" t="s">
        <v>257</v>
      </c>
      <c r="I15" s="18" t="s">
        <v>257</v>
      </c>
      <c r="J15" s="18" t="s">
        <v>257</v>
      </c>
      <c r="K15" s="21" t="str">
        <f t="shared" si="0"/>
        <v>0 شراء  •  0 بيع  •  6 محايد</v>
      </c>
      <c r="L15" s="33">
        <f t="shared" si="1"/>
        <v>0</v>
      </c>
      <c r="M15" s="29">
        <v>8.4507042253521101E-3</v>
      </c>
      <c r="N15" s="34">
        <f t="shared" si="2"/>
        <v>0</v>
      </c>
      <c r="O15" s="31" t="str">
        <f t="shared" si="3"/>
        <v>محايد</v>
      </c>
      <c r="P15" s="32" t="s">
        <v>280</v>
      </c>
    </row>
    <row r="16" spans="1:16" ht="99.75" customHeight="1">
      <c r="A16" s="36">
        <v>9</v>
      </c>
      <c r="B16" s="35" t="s">
        <v>281</v>
      </c>
      <c r="C16" s="107"/>
      <c r="D16" s="17" t="s">
        <v>282</v>
      </c>
      <c r="E16" s="18" t="s">
        <v>257</v>
      </c>
      <c r="F16" s="18" t="s">
        <v>257</v>
      </c>
      <c r="G16" s="18" t="s">
        <v>257</v>
      </c>
      <c r="H16" s="18" t="s">
        <v>257</v>
      </c>
      <c r="I16" s="18" t="s">
        <v>257</v>
      </c>
      <c r="J16" s="18" t="s">
        <v>257</v>
      </c>
      <c r="K16" s="16" t="str">
        <f t="shared" si="0"/>
        <v>0 شراء  •  0 بيع  •  6 محايد</v>
      </c>
      <c r="L16" s="28">
        <f t="shared" si="1"/>
        <v>0</v>
      </c>
      <c r="M16" s="29">
        <v>1.2676056338028201E-2</v>
      </c>
      <c r="N16" s="30">
        <f t="shared" si="2"/>
        <v>0</v>
      </c>
      <c r="O16" s="31" t="str">
        <f t="shared" si="3"/>
        <v>محايد</v>
      </c>
      <c r="P16" s="32" t="s">
        <v>283</v>
      </c>
    </row>
    <row r="17" spans="1:16" ht="99.75" customHeight="1">
      <c r="A17" s="36">
        <v>10</v>
      </c>
      <c r="B17" s="38" t="s">
        <v>284</v>
      </c>
      <c r="C17" s="107"/>
      <c r="D17" s="22" t="s">
        <v>285</v>
      </c>
      <c r="E17" s="18" t="s">
        <v>257</v>
      </c>
      <c r="F17" s="18" t="s">
        <v>257</v>
      </c>
      <c r="G17" s="18" t="s">
        <v>257</v>
      </c>
      <c r="H17" s="18" t="s">
        <v>257</v>
      </c>
      <c r="I17" s="18" t="s">
        <v>257</v>
      </c>
      <c r="J17" s="18" t="s">
        <v>257</v>
      </c>
      <c r="K17" s="21" t="str">
        <f t="shared" si="0"/>
        <v>0 شراء  •  0 بيع  •  6 محايد</v>
      </c>
      <c r="L17" s="33">
        <f t="shared" si="1"/>
        <v>0</v>
      </c>
      <c r="M17" s="29">
        <v>8.4507042253521101E-3</v>
      </c>
      <c r="N17" s="34">
        <f t="shared" si="2"/>
        <v>0</v>
      </c>
      <c r="O17" s="31" t="str">
        <f t="shared" si="3"/>
        <v>محايد</v>
      </c>
      <c r="P17" s="32" t="s">
        <v>286</v>
      </c>
    </row>
    <row r="18" spans="1:16" ht="99.75" customHeight="1">
      <c r="A18" s="36">
        <v>11</v>
      </c>
      <c r="B18" s="38" t="s">
        <v>287</v>
      </c>
      <c r="C18" s="107"/>
      <c r="D18" s="17" t="s">
        <v>288</v>
      </c>
      <c r="E18" s="18" t="s">
        <v>257</v>
      </c>
      <c r="F18" s="18" t="s">
        <v>257</v>
      </c>
      <c r="G18" s="18" t="s">
        <v>257</v>
      </c>
      <c r="H18" s="18" t="s">
        <v>257</v>
      </c>
      <c r="I18" s="18" t="s">
        <v>257</v>
      </c>
      <c r="J18" s="18" t="s">
        <v>257</v>
      </c>
      <c r="K18" s="16" t="str">
        <f t="shared" si="0"/>
        <v>0 شراء  •  0 بيع  •  6 محايد</v>
      </c>
      <c r="L18" s="28">
        <f t="shared" si="1"/>
        <v>0</v>
      </c>
      <c r="M18" s="29">
        <v>8.4507042253521101E-3</v>
      </c>
      <c r="N18" s="30">
        <f t="shared" si="2"/>
        <v>0</v>
      </c>
      <c r="O18" s="31" t="str">
        <f t="shared" si="3"/>
        <v>محايد</v>
      </c>
      <c r="P18" s="32" t="s">
        <v>289</v>
      </c>
    </row>
    <row r="19" spans="1:16" ht="99.75" customHeight="1">
      <c r="A19" s="36">
        <v>12</v>
      </c>
      <c r="B19" s="38" t="s">
        <v>290</v>
      </c>
      <c r="C19" s="107"/>
      <c r="D19" s="22" t="s">
        <v>291</v>
      </c>
      <c r="E19" s="18" t="s">
        <v>257</v>
      </c>
      <c r="F19" s="18" t="s">
        <v>257</v>
      </c>
      <c r="G19" s="18" t="s">
        <v>257</v>
      </c>
      <c r="H19" s="18" t="s">
        <v>257</v>
      </c>
      <c r="I19" s="18" t="s">
        <v>257</v>
      </c>
      <c r="J19" s="18" t="s">
        <v>257</v>
      </c>
      <c r="K19" s="21" t="str">
        <f t="shared" si="0"/>
        <v>0 شراء  •  0 بيع  •  6 محايد</v>
      </c>
      <c r="L19" s="33">
        <f t="shared" si="1"/>
        <v>0</v>
      </c>
      <c r="M19" s="29">
        <v>8.4507042253521101E-3</v>
      </c>
      <c r="N19" s="34">
        <f t="shared" si="2"/>
        <v>0</v>
      </c>
      <c r="O19" s="31" t="str">
        <f t="shared" si="3"/>
        <v>محايد</v>
      </c>
      <c r="P19" s="32" t="s">
        <v>292</v>
      </c>
    </row>
    <row r="20" spans="1:16" ht="99.75" customHeight="1">
      <c r="A20" s="39">
        <v>13</v>
      </c>
      <c r="B20" s="35" t="s">
        <v>293</v>
      </c>
      <c r="C20" s="108"/>
      <c r="D20" s="17" t="s">
        <v>294</v>
      </c>
      <c r="E20" s="18" t="s">
        <v>257</v>
      </c>
      <c r="F20" s="18" t="s">
        <v>257</v>
      </c>
      <c r="G20" s="18" t="s">
        <v>257</v>
      </c>
      <c r="H20" s="18" t="s">
        <v>257</v>
      </c>
      <c r="I20" s="18" t="s">
        <v>257</v>
      </c>
      <c r="J20" s="18" t="s">
        <v>257</v>
      </c>
      <c r="K20" s="16" t="str">
        <f t="shared" si="0"/>
        <v>0 شراء  •  0 بيع  •  6 محايد</v>
      </c>
      <c r="L20" s="28">
        <f t="shared" si="1"/>
        <v>0</v>
      </c>
      <c r="M20" s="29">
        <v>1.2676056338028201E-2</v>
      </c>
      <c r="N20" s="30">
        <f t="shared" si="2"/>
        <v>0</v>
      </c>
      <c r="O20" s="31" t="str">
        <f t="shared" si="3"/>
        <v>محايد</v>
      </c>
      <c r="P20" s="32" t="s">
        <v>295</v>
      </c>
    </row>
    <row r="21" spans="1:16" ht="99.75" customHeight="1">
      <c r="A21" s="40">
        <v>14</v>
      </c>
      <c r="B21" s="26" t="s">
        <v>296</v>
      </c>
      <c r="C21" s="103" t="s">
        <v>297</v>
      </c>
      <c r="D21" s="22" t="s">
        <v>298</v>
      </c>
      <c r="E21" s="18" t="s">
        <v>257</v>
      </c>
      <c r="F21" s="18" t="s">
        <v>257</v>
      </c>
      <c r="G21" s="18" t="s">
        <v>257</v>
      </c>
      <c r="H21" s="18" t="s">
        <v>257</v>
      </c>
      <c r="I21" s="18" t="s">
        <v>257</v>
      </c>
      <c r="J21" s="18" t="s">
        <v>257</v>
      </c>
      <c r="K21" s="21" t="str">
        <f t="shared" si="0"/>
        <v>0 شراء  •  0 بيع  •  6 محايد</v>
      </c>
      <c r="L21" s="33">
        <f t="shared" si="1"/>
        <v>0</v>
      </c>
      <c r="M21" s="29">
        <v>1.6901408450704199E-2</v>
      </c>
      <c r="N21" s="34">
        <f t="shared" si="2"/>
        <v>0</v>
      </c>
      <c r="O21" s="31" t="str">
        <f t="shared" si="3"/>
        <v>محايد</v>
      </c>
      <c r="P21" s="32" t="s">
        <v>299</v>
      </c>
    </row>
    <row r="22" spans="1:16" ht="99.75" customHeight="1">
      <c r="A22" s="40">
        <v>15</v>
      </c>
      <c r="B22" s="26" t="s">
        <v>300</v>
      </c>
      <c r="C22" s="104"/>
      <c r="D22" s="17" t="s">
        <v>301</v>
      </c>
      <c r="E22" s="18" t="s">
        <v>257</v>
      </c>
      <c r="F22" s="18" t="s">
        <v>257</v>
      </c>
      <c r="G22" s="18" t="s">
        <v>257</v>
      </c>
      <c r="H22" s="18" t="s">
        <v>257</v>
      </c>
      <c r="I22" s="18" t="s">
        <v>257</v>
      </c>
      <c r="J22" s="18" t="s">
        <v>257</v>
      </c>
      <c r="K22" s="16" t="str">
        <f t="shared" si="0"/>
        <v>0 شراء  •  0 بيع  •  6 محايد</v>
      </c>
      <c r="L22" s="28">
        <f t="shared" si="1"/>
        <v>0</v>
      </c>
      <c r="M22" s="29">
        <v>1.6901408450704199E-2</v>
      </c>
      <c r="N22" s="30">
        <f t="shared" si="2"/>
        <v>0</v>
      </c>
      <c r="O22" s="31" t="str">
        <f t="shared" si="3"/>
        <v>محايد</v>
      </c>
      <c r="P22" s="32" t="s">
        <v>302</v>
      </c>
    </row>
    <row r="23" spans="1:16" ht="99.75" customHeight="1">
      <c r="A23" s="40">
        <v>16</v>
      </c>
      <c r="B23" s="26" t="s">
        <v>303</v>
      </c>
      <c r="C23" s="104"/>
      <c r="D23" s="22" t="s">
        <v>304</v>
      </c>
      <c r="E23" s="18" t="s">
        <v>257</v>
      </c>
      <c r="F23" s="18" t="s">
        <v>257</v>
      </c>
      <c r="G23" s="18" t="s">
        <v>257</v>
      </c>
      <c r="H23" s="18" t="s">
        <v>257</v>
      </c>
      <c r="I23" s="18" t="s">
        <v>257</v>
      </c>
      <c r="J23" s="18" t="s">
        <v>257</v>
      </c>
      <c r="K23" s="21" t="str">
        <f t="shared" si="0"/>
        <v>0 شراء  •  0 بيع  •  6 محايد</v>
      </c>
      <c r="L23" s="33">
        <f t="shared" si="1"/>
        <v>0</v>
      </c>
      <c r="M23" s="29">
        <v>1.6901408450704199E-2</v>
      </c>
      <c r="N23" s="34">
        <f t="shared" si="2"/>
        <v>0</v>
      </c>
      <c r="O23" s="31" t="str">
        <f t="shared" si="3"/>
        <v>محايد</v>
      </c>
      <c r="P23" s="32" t="s">
        <v>305</v>
      </c>
    </row>
    <row r="24" spans="1:16" ht="99.75" customHeight="1">
      <c r="A24" s="40">
        <v>17</v>
      </c>
      <c r="B24" s="26" t="s">
        <v>306</v>
      </c>
      <c r="C24" s="104"/>
      <c r="D24" s="17" t="s">
        <v>307</v>
      </c>
      <c r="E24" s="18" t="s">
        <v>257</v>
      </c>
      <c r="F24" s="18" t="s">
        <v>257</v>
      </c>
      <c r="G24" s="18" t="s">
        <v>257</v>
      </c>
      <c r="H24" s="18" t="s">
        <v>257</v>
      </c>
      <c r="I24" s="18" t="s">
        <v>257</v>
      </c>
      <c r="J24" s="18" t="s">
        <v>257</v>
      </c>
      <c r="K24" s="16" t="str">
        <f t="shared" si="0"/>
        <v>0 شراء  •  0 بيع  •  6 محايد</v>
      </c>
      <c r="L24" s="28">
        <f t="shared" si="1"/>
        <v>0</v>
      </c>
      <c r="M24" s="29">
        <v>1.6901408450704199E-2</v>
      </c>
      <c r="N24" s="30">
        <f t="shared" si="2"/>
        <v>0</v>
      </c>
      <c r="O24" s="31" t="str">
        <f t="shared" si="3"/>
        <v>محايد</v>
      </c>
      <c r="P24" s="32" t="s">
        <v>308</v>
      </c>
    </row>
    <row r="25" spans="1:16" ht="99.75" customHeight="1">
      <c r="A25" s="40">
        <v>18</v>
      </c>
      <c r="B25" s="35" t="s">
        <v>309</v>
      </c>
      <c r="C25" s="104"/>
      <c r="D25" s="22" t="s">
        <v>310</v>
      </c>
      <c r="E25" s="18" t="s">
        <v>257</v>
      </c>
      <c r="F25" s="18" t="s">
        <v>257</v>
      </c>
      <c r="G25" s="18" t="s">
        <v>257</v>
      </c>
      <c r="H25" s="18" t="s">
        <v>257</v>
      </c>
      <c r="I25" s="18" t="s">
        <v>257</v>
      </c>
      <c r="J25" s="18" t="s">
        <v>257</v>
      </c>
      <c r="K25" s="21" t="str">
        <f t="shared" si="0"/>
        <v>0 شراء  •  0 بيع  •  6 محايد</v>
      </c>
      <c r="L25" s="33">
        <f t="shared" si="1"/>
        <v>0</v>
      </c>
      <c r="M25" s="29">
        <v>1.2676056338028201E-2</v>
      </c>
      <c r="N25" s="34">
        <f t="shared" si="2"/>
        <v>0</v>
      </c>
      <c r="O25" s="31" t="str">
        <f t="shared" si="3"/>
        <v>محايد</v>
      </c>
      <c r="P25" s="32" t="s">
        <v>311</v>
      </c>
    </row>
    <row r="26" spans="1:16" ht="99.75" customHeight="1">
      <c r="A26" s="40">
        <v>19</v>
      </c>
      <c r="B26" s="35" t="s">
        <v>312</v>
      </c>
      <c r="C26" s="104"/>
      <c r="D26" s="17" t="s">
        <v>313</v>
      </c>
      <c r="E26" s="18" t="s">
        <v>257</v>
      </c>
      <c r="F26" s="18" t="s">
        <v>257</v>
      </c>
      <c r="G26" s="18" t="s">
        <v>257</v>
      </c>
      <c r="H26" s="18" t="s">
        <v>257</v>
      </c>
      <c r="I26" s="18" t="s">
        <v>257</v>
      </c>
      <c r="J26" s="18" t="s">
        <v>257</v>
      </c>
      <c r="K26" s="16" t="str">
        <f t="shared" si="0"/>
        <v>0 شراء  •  0 بيع  •  6 محايد</v>
      </c>
      <c r="L26" s="28">
        <f t="shared" si="1"/>
        <v>0</v>
      </c>
      <c r="M26" s="29">
        <v>1.2676056338028201E-2</v>
      </c>
      <c r="N26" s="30">
        <f t="shared" si="2"/>
        <v>0</v>
      </c>
      <c r="O26" s="31" t="str">
        <f t="shared" si="3"/>
        <v>محايد</v>
      </c>
      <c r="P26" s="32" t="s">
        <v>314</v>
      </c>
    </row>
    <row r="27" spans="1:16" ht="99.75" customHeight="1">
      <c r="A27" s="40">
        <v>20</v>
      </c>
      <c r="B27" s="26" t="s">
        <v>315</v>
      </c>
      <c r="C27" s="105"/>
      <c r="D27" s="22" t="s">
        <v>316</v>
      </c>
      <c r="E27" s="18" t="s">
        <v>257</v>
      </c>
      <c r="F27" s="18" t="s">
        <v>257</v>
      </c>
      <c r="G27" s="18" t="s">
        <v>257</v>
      </c>
      <c r="H27" s="18" t="s">
        <v>257</v>
      </c>
      <c r="I27" s="18" t="s">
        <v>257</v>
      </c>
      <c r="J27" s="18" t="s">
        <v>257</v>
      </c>
      <c r="K27" s="21" t="str">
        <f t="shared" si="0"/>
        <v>0 شراء  •  0 بيع  •  6 محايد</v>
      </c>
      <c r="L27" s="33">
        <f t="shared" si="1"/>
        <v>0</v>
      </c>
      <c r="M27" s="29">
        <v>1.6901408450704199E-2</v>
      </c>
      <c r="N27" s="34">
        <f t="shared" si="2"/>
        <v>0</v>
      </c>
      <c r="O27" s="31" t="str">
        <f t="shared" si="3"/>
        <v>محايد</v>
      </c>
      <c r="P27" s="32" t="s">
        <v>317</v>
      </c>
    </row>
    <row r="28" spans="1:16" ht="99.75" customHeight="1">
      <c r="A28" s="41">
        <v>21</v>
      </c>
      <c r="B28" s="26" t="s">
        <v>318</v>
      </c>
      <c r="C28" s="98" t="s">
        <v>319</v>
      </c>
      <c r="D28" s="17" t="s">
        <v>320</v>
      </c>
      <c r="E28" s="18" t="s">
        <v>257</v>
      </c>
      <c r="F28" s="18" t="s">
        <v>257</v>
      </c>
      <c r="G28" s="18" t="s">
        <v>257</v>
      </c>
      <c r="H28" s="18" t="s">
        <v>257</v>
      </c>
      <c r="I28" s="18" t="s">
        <v>257</v>
      </c>
      <c r="J28" s="18" t="s">
        <v>257</v>
      </c>
      <c r="K28" s="16" t="str">
        <f t="shared" si="0"/>
        <v>0 شراء  •  0 بيع  •  6 محايد</v>
      </c>
      <c r="L28" s="28">
        <f t="shared" si="1"/>
        <v>0</v>
      </c>
      <c r="M28" s="29">
        <v>1.6901408450704199E-2</v>
      </c>
      <c r="N28" s="30">
        <f t="shared" si="2"/>
        <v>0</v>
      </c>
      <c r="O28" s="31" t="str">
        <f t="shared" si="3"/>
        <v>محايد</v>
      </c>
      <c r="P28" s="32" t="s">
        <v>321</v>
      </c>
    </row>
    <row r="29" spans="1:16" ht="99.75" customHeight="1">
      <c r="A29" s="41">
        <v>22</v>
      </c>
      <c r="B29" s="35" t="s">
        <v>322</v>
      </c>
      <c r="C29" s="99"/>
      <c r="D29" s="22" t="s">
        <v>323</v>
      </c>
      <c r="E29" s="18" t="s">
        <v>257</v>
      </c>
      <c r="F29" s="18" t="s">
        <v>257</v>
      </c>
      <c r="G29" s="18" t="s">
        <v>257</v>
      </c>
      <c r="H29" s="18" t="s">
        <v>257</v>
      </c>
      <c r="I29" s="18" t="s">
        <v>257</v>
      </c>
      <c r="J29" s="18" t="s">
        <v>257</v>
      </c>
      <c r="K29" s="21" t="str">
        <f t="shared" si="0"/>
        <v>0 شراء  •  0 بيع  •  6 محايد</v>
      </c>
      <c r="L29" s="33">
        <f t="shared" si="1"/>
        <v>0</v>
      </c>
      <c r="M29" s="29">
        <v>1.2676056338028201E-2</v>
      </c>
      <c r="N29" s="34">
        <f t="shared" si="2"/>
        <v>0</v>
      </c>
      <c r="O29" s="31" t="str">
        <f t="shared" si="3"/>
        <v>محايد</v>
      </c>
      <c r="P29" s="32" t="s">
        <v>324</v>
      </c>
    </row>
    <row r="30" spans="1:16" ht="99.75" customHeight="1">
      <c r="A30" s="42">
        <v>23</v>
      </c>
      <c r="B30" s="35" t="s">
        <v>325</v>
      </c>
      <c r="C30" s="43" t="s">
        <v>326</v>
      </c>
      <c r="D30" s="17" t="s">
        <v>327</v>
      </c>
      <c r="E30" s="18" t="s">
        <v>257</v>
      </c>
      <c r="F30" s="18" t="s">
        <v>257</v>
      </c>
      <c r="G30" s="18" t="s">
        <v>257</v>
      </c>
      <c r="H30" s="18" t="s">
        <v>257</v>
      </c>
      <c r="I30" s="18" t="s">
        <v>257</v>
      </c>
      <c r="J30" s="18" t="s">
        <v>257</v>
      </c>
      <c r="K30" s="16" t="str">
        <f t="shared" si="0"/>
        <v>0 شراء  •  0 بيع  •  6 محايد</v>
      </c>
      <c r="L30" s="28">
        <f t="shared" si="1"/>
        <v>0</v>
      </c>
      <c r="M30" s="29">
        <v>1.2676056338028201E-2</v>
      </c>
      <c r="N30" s="30">
        <f t="shared" si="2"/>
        <v>0</v>
      </c>
      <c r="O30" s="31" t="str">
        <f t="shared" si="3"/>
        <v>محايد</v>
      </c>
      <c r="P30" s="32" t="s">
        <v>328</v>
      </c>
    </row>
    <row r="31" spans="1:16" ht="31.5" customHeight="1">
      <c r="A31" s="95" t="s">
        <v>329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</row>
    <row r="32" spans="1:16" ht="25.5" customHeight="1">
      <c r="A32" s="109" t="s">
        <v>330</v>
      </c>
      <c r="B32" s="109"/>
      <c r="C32" s="109"/>
      <c r="D32" s="109"/>
      <c r="E32" s="6" t="s">
        <v>42</v>
      </c>
      <c r="F32" s="6" t="s">
        <v>43</v>
      </c>
      <c r="G32" s="6" t="s">
        <v>19</v>
      </c>
      <c r="H32" s="6" t="s">
        <v>44</v>
      </c>
      <c r="I32" s="6" t="s">
        <v>45</v>
      </c>
      <c r="J32" s="6" t="s">
        <v>46</v>
      </c>
    </row>
    <row r="33" spans="1:10" ht="25.5" customHeight="1">
      <c r="A33" s="110" t="s">
        <v>331</v>
      </c>
      <c r="B33" s="110"/>
      <c r="C33" s="110"/>
      <c r="D33" s="110"/>
      <c r="E33" s="44">
        <f>SUMPRODUCT((E8:E30="شراء")*(M8:M30))</f>
        <v>0</v>
      </c>
      <c r="F33" s="44">
        <f>SUMPRODUCT((F8:F30="شراء")*(M8:M30))</f>
        <v>0</v>
      </c>
      <c r="G33" s="44">
        <f>SUMPRODUCT((G8:G30="شراء")*(M8:M30))</f>
        <v>0</v>
      </c>
      <c r="H33" s="44">
        <f>SUMPRODUCT((H8:H30="شراء")*(M8:M30))</f>
        <v>0</v>
      </c>
      <c r="I33" s="44">
        <f>SUMPRODUCT((I8:I30="شراء")*(M8:M30))</f>
        <v>0</v>
      </c>
      <c r="J33" s="44">
        <f>SUMPRODUCT((J8:J30="شراء")*(M8:M30))</f>
        <v>0</v>
      </c>
    </row>
    <row r="34" spans="1:10" ht="25.5" customHeight="1">
      <c r="A34" s="111" t="s">
        <v>332</v>
      </c>
      <c r="B34" s="111"/>
      <c r="C34" s="111"/>
      <c r="D34" s="111"/>
      <c r="E34" s="45">
        <f>SUMPRODUCT((E8:E30="بيع")*(M8:M30))</f>
        <v>0</v>
      </c>
      <c r="F34" s="45">
        <f>SUMPRODUCT((F8:F30="بيع")*(M8:M30))</f>
        <v>0</v>
      </c>
      <c r="G34" s="45">
        <f>SUMPRODUCT((G8:G30="بيع")*(M8:M30))</f>
        <v>0</v>
      </c>
      <c r="H34" s="45">
        <f>SUMPRODUCT((H8:H30="بيع")*(M8:M30))</f>
        <v>0</v>
      </c>
      <c r="I34" s="45">
        <f>SUMPRODUCT((I8:I30="بيع")*(M8:M30))</f>
        <v>0</v>
      </c>
      <c r="J34" s="45">
        <f>SUMPRODUCT((J8:J30="بيع")*(M8:M30))</f>
        <v>0</v>
      </c>
    </row>
    <row r="35" spans="1:10" ht="25.5" customHeight="1">
      <c r="A35" s="112" t="s">
        <v>333</v>
      </c>
      <c r="B35" s="112"/>
      <c r="C35" s="112"/>
      <c r="D35" s="112"/>
      <c r="E35" s="46">
        <f t="shared" ref="E35:J35" si="4">E33-E34</f>
        <v>0</v>
      </c>
      <c r="F35" s="46">
        <f t="shared" si="4"/>
        <v>0</v>
      </c>
      <c r="G35" s="46">
        <f t="shared" si="4"/>
        <v>0</v>
      </c>
      <c r="H35" s="46">
        <f t="shared" si="4"/>
        <v>0</v>
      </c>
      <c r="I35" s="46">
        <f t="shared" si="4"/>
        <v>0</v>
      </c>
      <c r="J35" s="46">
        <f t="shared" si="4"/>
        <v>0</v>
      </c>
    </row>
    <row r="36" spans="1:10" ht="25.5" customHeight="1">
      <c r="A36" s="90" t="s">
        <v>334</v>
      </c>
      <c r="B36" s="90"/>
      <c r="C36" s="90"/>
      <c r="D36" s="90"/>
      <c r="E36" s="47" t="str">
        <f t="shared" ref="E36:J36" si="5">IF(E35&gt;0.015,"شراء 🟢",IF(E35&lt;-0.015,"بيع 🔴","محايد ⚪"))</f>
        <v>محايد ⚪</v>
      </c>
      <c r="F36" s="47" t="str">
        <f t="shared" si="5"/>
        <v>محايد ⚪</v>
      </c>
      <c r="G36" s="47" t="str">
        <f t="shared" si="5"/>
        <v>محايد ⚪</v>
      </c>
      <c r="H36" s="47" t="str">
        <f t="shared" si="5"/>
        <v>محايد ⚪</v>
      </c>
      <c r="I36" s="47" t="str">
        <f t="shared" si="5"/>
        <v>محايد ⚪</v>
      </c>
      <c r="J36" s="47" t="str">
        <f t="shared" si="5"/>
        <v>محايد ⚪</v>
      </c>
    </row>
    <row r="37" spans="1:10" ht="25.5" customHeight="1">
      <c r="A37" s="89" t="s">
        <v>335</v>
      </c>
      <c r="B37" s="89"/>
      <c r="C37" s="89"/>
      <c r="D37" s="89"/>
      <c r="E37" s="48">
        <f>IFERROR(ABS(E35)/SUM(M8:M30),0)</f>
        <v>0</v>
      </c>
      <c r="F37" s="48">
        <f>IFERROR(ABS(F35)/SUM(M8:M30),0)</f>
        <v>0</v>
      </c>
      <c r="G37" s="48">
        <f>IFERROR(ABS(G35)/SUM(M8:M30),0)</f>
        <v>0</v>
      </c>
      <c r="H37" s="48">
        <f>IFERROR(ABS(H35)/SUM(M8:M30),0)</f>
        <v>0</v>
      </c>
      <c r="I37" s="48">
        <f>IFERROR(ABS(I35)/SUM(M8:M30),0)</f>
        <v>0</v>
      </c>
      <c r="J37" s="48">
        <f>IFERROR(ABS(J35)/SUM(M8:M30),0)</f>
        <v>0</v>
      </c>
    </row>
  </sheetData>
  <mergeCells count="28">
    <mergeCell ref="A1:P1"/>
    <mergeCell ref="A2:P2"/>
    <mergeCell ref="A3:D3"/>
    <mergeCell ref="F3:H3"/>
    <mergeCell ref="I3:K3"/>
    <mergeCell ref="L3:P3"/>
    <mergeCell ref="A4:P4"/>
    <mergeCell ref="A5:A7"/>
    <mergeCell ref="B5:B7"/>
    <mergeCell ref="C5:C7"/>
    <mergeCell ref="D5:D7"/>
    <mergeCell ref="E5:K5"/>
    <mergeCell ref="L5:L7"/>
    <mergeCell ref="M5:M7"/>
    <mergeCell ref="N5:N7"/>
    <mergeCell ref="O5:O7"/>
    <mergeCell ref="P5:P7"/>
    <mergeCell ref="A36:D36"/>
    <mergeCell ref="A37:D37"/>
    <mergeCell ref="C28:C29"/>
    <mergeCell ref="C8:C10"/>
    <mergeCell ref="C21:C27"/>
    <mergeCell ref="C11:C20"/>
    <mergeCell ref="A31:P31"/>
    <mergeCell ref="A32:D32"/>
    <mergeCell ref="A33:D33"/>
    <mergeCell ref="A34:D34"/>
    <mergeCell ref="A35:D35"/>
  </mergeCells>
  <conditionalFormatting sqref="E8:J30">
    <cfRule type="cellIs" dxfId="36" priority="2" operator="equal">
      <formula>"شراء"</formula>
    </cfRule>
    <cfRule type="cellIs" dxfId="35" priority="3" operator="equal">
      <formula>"بيع"</formula>
    </cfRule>
    <cfRule type="cellIs" dxfId="34" priority="4" operator="equal">
      <formula>"محايد"</formula>
    </cfRule>
  </conditionalFormatting>
  <conditionalFormatting sqref="E36:J36">
    <cfRule type="expression" dxfId="33" priority="9">
      <formula>ISNUMBER(SEARCH("شراء",E36))</formula>
    </cfRule>
    <cfRule type="expression" dxfId="32" priority="10">
      <formula>ISNUMBER(SEARCH("بيع",E36))</formula>
    </cfRule>
  </conditionalFormatting>
  <conditionalFormatting sqref="F3:H3">
    <cfRule type="expression" dxfId="31" priority="11">
      <formula>ISNUMBER(SEARCH("شراء",F3))</formula>
    </cfRule>
    <cfRule type="expression" dxfId="30" priority="12">
      <formula>ISNUMBER(SEARCH("بيع",F3))</formula>
    </cfRule>
  </conditionalFormatting>
  <conditionalFormatting sqref="L8:L30">
    <cfRule type="expression" dxfId="29" priority="7">
      <formula>L8&gt;0.001</formula>
    </cfRule>
    <cfRule type="expression" dxfId="28" priority="8">
      <formula>L8&lt;-0.001</formula>
    </cfRule>
  </conditionalFormatting>
  <conditionalFormatting sqref="O8:O30">
    <cfRule type="cellIs" dxfId="27" priority="5" operator="equal">
      <formula>"شراء"</formula>
    </cfRule>
    <cfRule type="cellIs" dxfId="26" priority="6" operator="equal">
      <formula>"بيع"</formula>
    </cfRule>
  </conditionalFormatting>
  <dataValidations count="2">
    <dataValidation type="list" sqref="E3" xr:uid="{00000000-0002-0000-0200-000000000000}">
      <formula1>"1M,5M,15M,30M,1H,4H"</formula1>
      <formula2>0</formula2>
    </dataValidation>
    <dataValidation type="list" allowBlank="1" sqref="E8:J30" xr:uid="{00000000-0002-0000-0200-000001000000}">
      <formula1>"شراء,بيع,محايد"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"/>
  <sheetViews>
    <sheetView showGridLines="0" rightToLeft="1" topLeftCell="B1" zoomScaleNormal="100" workbookViewId="0">
      <pane ySplit="7" topLeftCell="A54" activePane="bottomLeft" state="frozen"/>
      <selection pane="bottomLeft" activeCell="C50" sqref="C50:C55"/>
    </sheetView>
  </sheetViews>
  <sheetFormatPr baseColWidth="10" defaultColWidth="8.6640625" defaultRowHeight="15"/>
  <cols>
    <col min="1" max="1" width="5" customWidth="1"/>
    <col min="2" max="2" width="35" customWidth="1"/>
    <col min="3" max="3" width="22" customWidth="1"/>
    <col min="4" max="4" width="55" customWidth="1"/>
    <col min="5" max="10" width="11" customWidth="1"/>
    <col min="11" max="11" width="24" customWidth="1"/>
    <col min="12" max="14" width="12" customWidth="1"/>
    <col min="15" max="15" width="14" customWidth="1"/>
    <col min="16" max="16" width="32" customWidth="1"/>
  </cols>
  <sheetData>
    <row r="1" spans="1:16" ht="49.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ht="25.5" customHeight="1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16" ht="27.75" customHeight="1">
      <c r="A3" s="89" t="s">
        <v>241</v>
      </c>
      <c r="B3" s="89"/>
      <c r="C3" s="89"/>
      <c r="D3" s="89"/>
      <c r="E3" s="5" t="s">
        <v>19</v>
      </c>
      <c r="F3" s="114" t="str">
        <f>IF($E$3="1M",E61,IF($E$3="5M",F61,IF($E$3="15M",G61,IF($E$3="30M",H61,IF($E$3="1H",I61,IF($E$3="4H",J61,""))))))</f>
        <v>محايد ⚪</v>
      </c>
      <c r="G3" s="114"/>
      <c r="H3" s="114"/>
      <c r="I3" s="115" t="str">
        <f>"ثقة: "&amp;TEXT(IF($E$3="1M",E62,IF($E$3="5M",F62,IF($E$3="15M",G62,IF($E$3="30M",H62,IF($E$3="1H",I62,IF($E$3="4H",J62,0)))))),"0.0%")</f>
        <v>ثقة: 0.0%</v>
      </c>
      <c r="J3" s="115"/>
      <c r="K3" s="115"/>
      <c r="L3" s="90" t="str">
        <f>"مساهمة الجدول: "&amp;TEXT(IF($E$3="1M",E60,IF($E$3="5M",F60,IF($E$3="15M",G60,IF($E$3="30M",H60,IF($E$3="1H",I60,IF($E$3="4H",J60,0)))))),"+0.000%;-0.000%;0%")&amp;" من 25%"</f>
        <v>مساهمة الجدول: 0% من 25%</v>
      </c>
      <c r="M3" s="90"/>
      <c r="N3" s="90"/>
      <c r="O3" s="90"/>
      <c r="P3" s="90"/>
    </row>
    <row r="4" spans="1:16" ht="30" customHeight="1">
      <c r="A4" s="86" t="s">
        <v>336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 ht="60" customHeight="1">
      <c r="A5" s="113" t="s">
        <v>243</v>
      </c>
      <c r="B5" s="113" t="s">
        <v>244</v>
      </c>
      <c r="C5" s="113" t="s">
        <v>245</v>
      </c>
      <c r="D5" s="113" t="s">
        <v>246</v>
      </c>
      <c r="E5" s="113" t="s">
        <v>247</v>
      </c>
      <c r="F5" s="113"/>
      <c r="G5" s="113"/>
      <c r="H5" s="113"/>
      <c r="I5" s="113"/>
      <c r="J5" s="113"/>
      <c r="K5" s="113"/>
      <c r="L5" s="113" t="s">
        <v>248</v>
      </c>
      <c r="M5" s="113" t="s">
        <v>337</v>
      </c>
      <c r="N5" s="113" t="s">
        <v>250</v>
      </c>
      <c r="O5" s="113" t="s">
        <v>251</v>
      </c>
      <c r="P5" s="113" t="s">
        <v>252</v>
      </c>
    </row>
    <row r="6" spans="1:16" ht="18" customHeight="1">
      <c r="A6" s="113"/>
      <c r="B6" s="113"/>
      <c r="C6" s="113"/>
      <c r="D6" s="113"/>
      <c r="L6" s="113"/>
      <c r="M6" s="113"/>
      <c r="N6" s="113"/>
      <c r="O6" s="113"/>
      <c r="P6" s="113"/>
    </row>
    <row r="7" spans="1:16" ht="36" customHeight="1">
      <c r="A7" s="113"/>
      <c r="B7" s="113"/>
      <c r="C7" s="113"/>
      <c r="D7" s="113"/>
      <c r="E7" s="24" t="s">
        <v>42</v>
      </c>
      <c r="F7" s="24" t="s">
        <v>43</v>
      </c>
      <c r="G7" s="24" t="s">
        <v>19</v>
      </c>
      <c r="H7" s="24" t="s">
        <v>44</v>
      </c>
      <c r="I7" s="24" t="s">
        <v>45</v>
      </c>
      <c r="J7" s="24" t="s">
        <v>46</v>
      </c>
      <c r="K7" s="24" t="s">
        <v>253</v>
      </c>
      <c r="L7" s="113"/>
      <c r="M7" s="113"/>
      <c r="N7" s="113"/>
      <c r="O7" s="113"/>
      <c r="P7" s="113"/>
    </row>
    <row r="8" spans="1:16" ht="99.75" customHeight="1">
      <c r="A8" s="25">
        <v>1</v>
      </c>
      <c r="B8" s="26" t="s">
        <v>338</v>
      </c>
      <c r="C8" s="27" t="s">
        <v>339</v>
      </c>
      <c r="D8" s="17" t="s">
        <v>340</v>
      </c>
      <c r="E8" s="18" t="s">
        <v>257</v>
      </c>
      <c r="F8" s="18" t="s">
        <v>257</v>
      </c>
      <c r="G8" s="18" t="s">
        <v>257</v>
      </c>
      <c r="H8" s="18" t="s">
        <v>257</v>
      </c>
      <c r="I8" s="18" t="s">
        <v>257</v>
      </c>
      <c r="J8" s="18" t="s">
        <v>257</v>
      </c>
      <c r="K8" s="16" t="str">
        <f t="shared" ref="K8:K55" si="0">(IF(E8="شراء",1,0)+IF(F8="شراء",1,0)+IF(G8="شراء",1,0)+IF(H8="شراء",1,0)+IF(I8="شراء",1,0)+IF(J8="شراء",1,0))&amp;" شراء  •  "&amp;(IF(E8="بيع",1,0)+IF(F8="بيع",1,0)+IF(G8="بيع",1,0)+IF(H8="بيع",1,0)+IF(I8="بيع",1,0)+IF(J8="بيع",1,0))&amp;" بيع  •  "&amp;(IF(E8="محايد",1,0)+IF(F8="محايد",1,0)+IF(G8="محايد",1,0)+IF(H8="محايد",1,0)+IF(I8="محايد",1,0)+IF(J8="محايد",1,0))&amp;" محايد"</f>
        <v>0 شراء  •  0 بيع  •  6 محايد</v>
      </c>
      <c r="L8" s="28">
        <f t="shared" ref="L8:L55" si="1">((IF(E8="شراء",1,IF(E8="بيع",-1,0))*5)+(IF(F8="شراء",1,IF(F8="بيع",-1,0))*10)+(IF(G8="شراء",1,IF(G8="بيع",-1,0))*20)+(IF(H8="شراء",1,IF(H8="بيع",-1,0))*18)+(IF(I8="شراء",1,IF(I8="بيع",-1,0))*22)+(IF(J8="شراء",1,IF(J8="بيع",-1,0))*25))/100</f>
        <v>0</v>
      </c>
      <c r="M8" s="29">
        <v>8.40336134453782E-3</v>
      </c>
      <c r="N8" s="30">
        <f t="shared" ref="N8:N55" si="2">ABS(L8)</f>
        <v>0</v>
      </c>
      <c r="O8" s="31" t="str">
        <f t="shared" ref="O8:O55" si="3">IF($E$3="1M",E8,IF($E$3="5M",F8,IF($E$3="15M",G8,IF($E$3="30M",H8,IF($E$3="1H",I8,IF($E$3="4H",J8,"محايد"))))))</f>
        <v>محايد</v>
      </c>
      <c r="P8" s="32" t="s">
        <v>341</v>
      </c>
    </row>
    <row r="9" spans="1:16" ht="99.75" customHeight="1">
      <c r="A9" s="36">
        <v>2</v>
      </c>
      <c r="B9" s="26" t="s">
        <v>342</v>
      </c>
      <c r="C9" s="37" t="s">
        <v>343</v>
      </c>
      <c r="D9" s="22" t="s">
        <v>344</v>
      </c>
      <c r="E9" s="18" t="s">
        <v>257</v>
      </c>
      <c r="F9" s="18" t="s">
        <v>257</v>
      </c>
      <c r="G9" s="18" t="s">
        <v>257</v>
      </c>
      <c r="H9" s="18" t="s">
        <v>257</v>
      </c>
      <c r="I9" s="18" t="s">
        <v>257</v>
      </c>
      <c r="J9" s="18" t="s">
        <v>257</v>
      </c>
      <c r="K9" s="21" t="str">
        <f t="shared" si="0"/>
        <v>0 شراء  •  0 بيع  •  6 محايد</v>
      </c>
      <c r="L9" s="33">
        <f t="shared" si="1"/>
        <v>0</v>
      </c>
      <c r="M9" s="29">
        <v>8.40336134453782E-3</v>
      </c>
      <c r="N9" s="34">
        <f t="shared" si="2"/>
        <v>0</v>
      </c>
      <c r="O9" s="31" t="str">
        <f t="shared" si="3"/>
        <v>محايد</v>
      </c>
      <c r="P9" s="32" t="s">
        <v>345</v>
      </c>
    </row>
    <row r="10" spans="1:16" ht="99.75" customHeight="1">
      <c r="A10" s="39">
        <v>3</v>
      </c>
      <c r="B10" s="35" t="s">
        <v>346</v>
      </c>
      <c r="C10" s="116" t="s">
        <v>347</v>
      </c>
      <c r="D10" s="17" t="s">
        <v>348</v>
      </c>
      <c r="E10" s="18" t="s">
        <v>257</v>
      </c>
      <c r="F10" s="18" t="s">
        <v>257</v>
      </c>
      <c r="G10" s="18" t="s">
        <v>257</v>
      </c>
      <c r="H10" s="18" t="s">
        <v>257</v>
      </c>
      <c r="I10" s="18" t="s">
        <v>257</v>
      </c>
      <c r="J10" s="18" t="s">
        <v>257</v>
      </c>
      <c r="K10" s="16" t="str">
        <f t="shared" si="0"/>
        <v>0 شراء  •  0 بيع  •  6 محايد</v>
      </c>
      <c r="L10" s="28">
        <f t="shared" si="1"/>
        <v>0</v>
      </c>
      <c r="M10" s="29">
        <v>6.3025210084033598E-3</v>
      </c>
      <c r="N10" s="30">
        <f t="shared" si="2"/>
        <v>0</v>
      </c>
      <c r="O10" s="31" t="str">
        <f t="shared" si="3"/>
        <v>محايد</v>
      </c>
      <c r="P10" s="32" t="s">
        <v>349</v>
      </c>
    </row>
    <row r="11" spans="1:16" ht="99.75" customHeight="1">
      <c r="A11" s="39">
        <v>4</v>
      </c>
      <c r="B11" s="38" t="s">
        <v>350</v>
      </c>
      <c r="C11" s="117"/>
      <c r="D11" s="22" t="s">
        <v>351</v>
      </c>
      <c r="E11" s="18" t="s">
        <v>257</v>
      </c>
      <c r="F11" s="18" t="s">
        <v>257</v>
      </c>
      <c r="G11" s="18" t="s">
        <v>257</v>
      </c>
      <c r="H11" s="18" t="s">
        <v>257</v>
      </c>
      <c r="I11" s="18" t="s">
        <v>257</v>
      </c>
      <c r="J11" s="18" t="s">
        <v>257</v>
      </c>
      <c r="K11" s="21" t="str">
        <f t="shared" si="0"/>
        <v>0 شراء  •  0 بيع  •  6 محايد</v>
      </c>
      <c r="L11" s="33">
        <f t="shared" si="1"/>
        <v>0</v>
      </c>
      <c r="M11" s="29">
        <v>4.20168067226891E-3</v>
      </c>
      <c r="N11" s="34">
        <f t="shared" si="2"/>
        <v>0</v>
      </c>
      <c r="O11" s="31" t="str">
        <f t="shared" si="3"/>
        <v>محايد</v>
      </c>
      <c r="P11" s="32" t="s">
        <v>352</v>
      </c>
    </row>
    <row r="12" spans="1:16" ht="99.75" customHeight="1">
      <c r="A12" s="39">
        <v>5</v>
      </c>
      <c r="B12" s="35" t="s">
        <v>353</v>
      </c>
      <c r="C12" s="117"/>
      <c r="D12" s="17" t="s">
        <v>354</v>
      </c>
      <c r="E12" s="18" t="s">
        <v>257</v>
      </c>
      <c r="F12" s="18" t="s">
        <v>257</v>
      </c>
      <c r="G12" s="18" t="s">
        <v>257</v>
      </c>
      <c r="H12" s="18" t="s">
        <v>257</v>
      </c>
      <c r="I12" s="18" t="s">
        <v>257</v>
      </c>
      <c r="J12" s="18" t="s">
        <v>257</v>
      </c>
      <c r="K12" s="16" t="str">
        <f t="shared" si="0"/>
        <v>0 شراء  •  0 بيع  •  6 محايد</v>
      </c>
      <c r="L12" s="28">
        <f t="shared" si="1"/>
        <v>0</v>
      </c>
      <c r="M12" s="29">
        <v>6.3025210084033598E-3</v>
      </c>
      <c r="N12" s="30">
        <f t="shared" si="2"/>
        <v>0</v>
      </c>
      <c r="O12" s="31" t="str">
        <f t="shared" si="3"/>
        <v>محايد</v>
      </c>
      <c r="P12" s="32" t="s">
        <v>355</v>
      </c>
    </row>
    <row r="13" spans="1:16" ht="99.75" customHeight="1">
      <c r="A13" s="39">
        <v>6</v>
      </c>
      <c r="B13" s="38" t="s">
        <v>356</v>
      </c>
      <c r="C13" s="117"/>
      <c r="D13" s="22" t="s">
        <v>357</v>
      </c>
      <c r="E13" s="18" t="s">
        <v>257</v>
      </c>
      <c r="F13" s="18" t="s">
        <v>257</v>
      </c>
      <c r="G13" s="18" t="s">
        <v>257</v>
      </c>
      <c r="H13" s="18" t="s">
        <v>257</v>
      </c>
      <c r="I13" s="18" t="s">
        <v>257</v>
      </c>
      <c r="J13" s="18" t="s">
        <v>257</v>
      </c>
      <c r="K13" s="21" t="str">
        <f t="shared" si="0"/>
        <v>0 شراء  •  0 بيع  •  6 محايد</v>
      </c>
      <c r="L13" s="33">
        <f t="shared" si="1"/>
        <v>0</v>
      </c>
      <c r="M13" s="29">
        <v>4.20168067226891E-3</v>
      </c>
      <c r="N13" s="34">
        <f t="shared" si="2"/>
        <v>0</v>
      </c>
      <c r="O13" s="31" t="str">
        <f t="shared" si="3"/>
        <v>محايد</v>
      </c>
      <c r="P13" s="32" t="s">
        <v>358</v>
      </c>
    </row>
    <row r="14" spans="1:16" ht="99.75" customHeight="1">
      <c r="A14" s="39">
        <v>7</v>
      </c>
      <c r="B14" s="35" t="s">
        <v>359</v>
      </c>
      <c r="C14" s="118"/>
      <c r="D14" s="17" t="s">
        <v>360</v>
      </c>
      <c r="E14" s="18" t="s">
        <v>257</v>
      </c>
      <c r="F14" s="18" t="s">
        <v>257</v>
      </c>
      <c r="G14" s="18" t="s">
        <v>257</v>
      </c>
      <c r="H14" s="18" t="s">
        <v>257</v>
      </c>
      <c r="I14" s="18" t="s">
        <v>257</v>
      </c>
      <c r="J14" s="18" t="s">
        <v>257</v>
      </c>
      <c r="K14" s="16" t="str">
        <f t="shared" si="0"/>
        <v>0 شراء  •  0 بيع  •  6 محايد</v>
      </c>
      <c r="L14" s="28">
        <f t="shared" si="1"/>
        <v>0</v>
      </c>
      <c r="M14" s="29">
        <v>6.3025210084033598E-3</v>
      </c>
      <c r="N14" s="30">
        <f t="shared" si="2"/>
        <v>0</v>
      </c>
      <c r="O14" s="31" t="str">
        <f t="shared" si="3"/>
        <v>محايد</v>
      </c>
      <c r="P14" s="32" t="s">
        <v>361</v>
      </c>
    </row>
    <row r="15" spans="1:16" ht="99.75" customHeight="1">
      <c r="A15" s="40">
        <v>8</v>
      </c>
      <c r="B15" s="26" t="s">
        <v>362</v>
      </c>
      <c r="C15" s="103" t="s">
        <v>363</v>
      </c>
      <c r="D15" s="22" t="s">
        <v>364</v>
      </c>
      <c r="E15" s="18" t="s">
        <v>257</v>
      </c>
      <c r="F15" s="18" t="s">
        <v>257</v>
      </c>
      <c r="G15" s="18" t="s">
        <v>257</v>
      </c>
      <c r="H15" s="18" t="s">
        <v>257</v>
      </c>
      <c r="I15" s="18" t="s">
        <v>257</v>
      </c>
      <c r="J15" s="18" t="s">
        <v>257</v>
      </c>
      <c r="K15" s="21" t="str">
        <f t="shared" si="0"/>
        <v>0 شراء  •  0 بيع  •  6 محايد</v>
      </c>
      <c r="L15" s="33">
        <f t="shared" si="1"/>
        <v>0</v>
      </c>
      <c r="M15" s="29">
        <v>8.40336134453782E-3</v>
      </c>
      <c r="N15" s="34">
        <f t="shared" si="2"/>
        <v>0</v>
      </c>
      <c r="O15" s="31" t="str">
        <f t="shared" si="3"/>
        <v>محايد</v>
      </c>
      <c r="P15" s="32" t="s">
        <v>365</v>
      </c>
    </row>
    <row r="16" spans="1:16" ht="99.75" customHeight="1">
      <c r="A16" s="40">
        <v>9</v>
      </c>
      <c r="B16" s="26" t="s">
        <v>366</v>
      </c>
      <c r="C16" s="104"/>
      <c r="D16" s="17" t="s">
        <v>367</v>
      </c>
      <c r="E16" s="18" t="s">
        <v>257</v>
      </c>
      <c r="F16" s="18" t="s">
        <v>257</v>
      </c>
      <c r="G16" s="18" t="s">
        <v>257</v>
      </c>
      <c r="H16" s="18" t="s">
        <v>257</v>
      </c>
      <c r="I16" s="18" t="s">
        <v>257</v>
      </c>
      <c r="J16" s="18" t="s">
        <v>257</v>
      </c>
      <c r="K16" s="16" t="str">
        <f t="shared" si="0"/>
        <v>0 شراء  •  0 بيع  •  6 محايد</v>
      </c>
      <c r="L16" s="28">
        <f t="shared" si="1"/>
        <v>0</v>
      </c>
      <c r="M16" s="29">
        <v>8.40336134453782E-3</v>
      </c>
      <c r="N16" s="30">
        <f t="shared" si="2"/>
        <v>0</v>
      </c>
      <c r="O16" s="31" t="str">
        <f t="shared" si="3"/>
        <v>محايد</v>
      </c>
      <c r="P16" s="32" t="s">
        <v>368</v>
      </c>
    </row>
    <row r="17" spans="1:16" ht="99.75" customHeight="1">
      <c r="A17" s="40">
        <v>10</v>
      </c>
      <c r="B17" s="38" t="s">
        <v>369</v>
      </c>
      <c r="C17" s="104"/>
      <c r="D17" s="22" t="s">
        <v>370</v>
      </c>
      <c r="E17" s="18" t="s">
        <v>257</v>
      </c>
      <c r="F17" s="18" t="s">
        <v>257</v>
      </c>
      <c r="G17" s="18" t="s">
        <v>257</v>
      </c>
      <c r="H17" s="18" t="s">
        <v>257</v>
      </c>
      <c r="I17" s="18" t="s">
        <v>257</v>
      </c>
      <c r="J17" s="18" t="s">
        <v>257</v>
      </c>
      <c r="K17" s="21" t="str">
        <f t="shared" si="0"/>
        <v>0 شراء  •  0 بيع  •  6 محايد</v>
      </c>
      <c r="L17" s="33">
        <f t="shared" si="1"/>
        <v>0</v>
      </c>
      <c r="M17" s="29">
        <v>4.20168067226891E-3</v>
      </c>
      <c r="N17" s="34">
        <f t="shared" si="2"/>
        <v>0</v>
      </c>
      <c r="O17" s="31" t="str">
        <f t="shared" si="3"/>
        <v>محايد</v>
      </c>
      <c r="P17" s="32" t="s">
        <v>371</v>
      </c>
    </row>
    <row r="18" spans="1:16" ht="99.75" customHeight="1">
      <c r="A18" s="40">
        <v>11</v>
      </c>
      <c r="B18" s="35" t="s">
        <v>372</v>
      </c>
      <c r="C18" s="104"/>
      <c r="D18" s="17" t="s">
        <v>373</v>
      </c>
      <c r="E18" s="18" t="s">
        <v>257</v>
      </c>
      <c r="F18" s="18" t="s">
        <v>257</v>
      </c>
      <c r="G18" s="18" t="s">
        <v>257</v>
      </c>
      <c r="H18" s="18" t="s">
        <v>257</v>
      </c>
      <c r="I18" s="18" t="s">
        <v>257</v>
      </c>
      <c r="J18" s="18" t="s">
        <v>257</v>
      </c>
      <c r="K18" s="16" t="str">
        <f t="shared" si="0"/>
        <v>0 شراء  •  0 بيع  •  6 محايد</v>
      </c>
      <c r="L18" s="28">
        <f t="shared" si="1"/>
        <v>0</v>
      </c>
      <c r="M18" s="29">
        <v>6.3025210084033598E-3</v>
      </c>
      <c r="N18" s="30">
        <f t="shared" si="2"/>
        <v>0</v>
      </c>
      <c r="O18" s="31" t="str">
        <f t="shared" si="3"/>
        <v>محايد</v>
      </c>
      <c r="P18" s="32" t="s">
        <v>374</v>
      </c>
    </row>
    <row r="19" spans="1:16" ht="99.75" customHeight="1">
      <c r="A19" s="40">
        <v>12</v>
      </c>
      <c r="B19" s="49" t="s">
        <v>375</v>
      </c>
      <c r="C19" s="105"/>
      <c r="D19" s="22" t="s">
        <v>376</v>
      </c>
      <c r="E19" s="18" t="s">
        <v>257</v>
      </c>
      <c r="F19" s="18" t="s">
        <v>257</v>
      </c>
      <c r="G19" s="18" t="s">
        <v>257</v>
      </c>
      <c r="H19" s="18" t="s">
        <v>257</v>
      </c>
      <c r="I19" s="18" t="s">
        <v>257</v>
      </c>
      <c r="J19" s="18" t="s">
        <v>257</v>
      </c>
      <c r="K19" s="21" t="str">
        <f t="shared" si="0"/>
        <v>0 شراء  •  0 بيع  •  6 محايد</v>
      </c>
      <c r="L19" s="33">
        <f t="shared" si="1"/>
        <v>0</v>
      </c>
      <c r="M19" s="29">
        <v>2.1008403361344498E-3</v>
      </c>
      <c r="N19" s="34">
        <f t="shared" si="2"/>
        <v>0</v>
      </c>
      <c r="O19" s="31" t="str">
        <f t="shared" si="3"/>
        <v>محايد</v>
      </c>
      <c r="P19" s="32" t="s">
        <v>377</v>
      </c>
    </row>
    <row r="20" spans="1:16" ht="99.75" customHeight="1">
      <c r="A20" s="41">
        <v>13</v>
      </c>
      <c r="B20" s="35" t="s">
        <v>378</v>
      </c>
      <c r="C20" s="98" t="s">
        <v>379</v>
      </c>
      <c r="D20" s="17" t="s">
        <v>380</v>
      </c>
      <c r="E20" s="18" t="s">
        <v>257</v>
      </c>
      <c r="F20" s="18" t="s">
        <v>257</v>
      </c>
      <c r="G20" s="18" t="s">
        <v>257</v>
      </c>
      <c r="H20" s="18" t="s">
        <v>257</v>
      </c>
      <c r="I20" s="18" t="s">
        <v>257</v>
      </c>
      <c r="J20" s="18" t="s">
        <v>257</v>
      </c>
      <c r="K20" s="16" t="str">
        <f t="shared" si="0"/>
        <v>0 شراء  •  0 بيع  •  6 محايد</v>
      </c>
      <c r="L20" s="28">
        <f t="shared" si="1"/>
        <v>0</v>
      </c>
      <c r="M20" s="29">
        <v>6.3025210084033598E-3</v>
      </c>
      <c r="N20" s="30">
        <f t="shared" si="2"/>
        <v>0</v>
      </c>
      <c r="O20" s="31" t="str">
        <f t="shared" si="3"/>
        <v>محايد</v>
      </c>
      <c r="P20" s="32" t="s">
        <v>381</v>
      </c>
    </row>
    <row r="21" spans="1:16" ht="99.75" customHeight="1">
      <c r="A21" s="41">
        <v>14</v>
      </c>
      <c r="B21" s="26" t="s">
        <v>382</v>
      </c>
      <c r="C21" s="119"/>
      <c r="D21" s="22" t="s">
        <v>383</v>
      </c>
      <c r="E21" s="18" t="s">
        <v>257</v>
      </c>
      <c r="F21" s="18" t="s">
        <v>257</v>
      </c>
      <c r="G21" s="18" t="s">
        <v>257</v>
      </c>
      <c r="H21" s="18" t="s">
        <v>257</v>
      </c>
      <c r="I21" s="18" t="s">
        <v>257</v>
      </c>
      <c r="J21" s="18" t="s">
        <v>257</v>
      </c>
      <c r="K21" s="21" t="str">
        <f t="shared" si="0"/>
        <v>0 شراء  •  0 بيع  •  6 محايد</v>
      </c>
      <c r="L21" s="33">
        <f t="shared" si="1"/>
        <v>0</v>
      </c>
      <c r="M21" s="29">
        <v>8.40336134453782E-3</v>
      </c>
      <c r="N21" s="34">
        <f t="shared" si="2"/>
        <v>0</v>
      </c>
      <c r="O21" s="31" t="str">
        <f t="shared" si="3"/>
        <v>محايد</v>
      </c>
      <c r="P21" s="32" t="s">
        <v>384</v>
      </c>
    </row>
    <row r="22" spans="1:16" ht="99.75" customHeight="1">
      <c r="A22" s="41">
        <v>15</v>
      </c>
      <c r="B22" s="35" t="s">
        <v>385</v>
      </c>
      <c r="C22" s="119"/>
      <c r="D22" s="17" t="s">
        <v>386</v>
      </c>
      <c r="E22" s="18" t="s">
        <v>257</v>
      </c>
      <c r="F22" s="18" t="s">
        <v>257</v>
      </c>
      <c r="G22" s="18" t="s">
        <v>257</v>
      </c>
      <c r="H22" s="18" t="s">
        <v>257</v>
      </c>
      <c r="I22" s="18" t="s">
        <v>257</v>
      </c>
      <c r="J22" s="18" t="s">
        <v>257</v>
      </c>
      <c r="K22" s="16" t="str">
        <f t="shared" si="0"/>
        <v>0 شراء  •  0 بيع  •  6 محايد</v>
      </c>
      <c r="L22" s="28">
        <f t="shared" si="1"/>
        <v>0</v>
      </c>
      <c r="M22" s="29">
        <v>6.3025210084033598E-3</v>
      </c>
      <c r="N22" s="30">
        <f t="shared" si="2"/>
        <v>0</v>
      </c>
      <c r="O22" s="31" t="str">
        <f t="shared" si="3"/>
        <v>محايد</v>
      </c>
      <c r="P22" s="32" t="s">
        <v>387</v>
      </c>
    </row>
    <row r="23" spans="1:16" ht="99.75" customHeight="1">
      <c r="A23" s="41">
        <v>16</v>
      </c>
      <c r="B23" s="35" t="s">
        <v>388</v>
      </c>
      <c r="C23" s="119"/>
      <c r="D23" s="22" t="s">
        <v>389</v>
      </c>
      <c r="E23" s="18" t="s">
        <v>257</v>
      </c>
      <c r="F23" s="18" t="s">
        <v>257</v>
      </c>
      <c r="G23" s="18" t="s">
        <v>257</v>
      </c>
      <c r="H23" s="18" t="s">
        <v>257</v>
      </c>
      <c r="I23" s="18" t="s">
        <v>257</v>
      </c>
      <c r="J23" s="18" t="s">
        <v>257</v>
      </c>
      <c r="K23" s="21" t="str">
        <f t="shared" si="0"/>
        <v>0 شراء  •  0 بيع  •  6 محايد</v>
      </c>
      <c r="L23" s="33">
        <f t="shared" si="1"/>
        <v>0</v>
      </c>
      <c r="M23" s="29">
        <v>6.3025210084033598E-3</v>
      </c>
      <c r="N23" s="34">
        <f t="shared" si="2"/>
        <v>0</v>
      </c>
      <c r="O23" s="31" t="str">
        <f t="shared" si="3"/>
        <v>محايد</v>
      </c>
      <c r="P23" s="32" t="s">
        <v>390</v>
      </c>
    </row>
    <row r="24" spans="1:16" ht="99.75" customHeight="1">
      <c r="A24" s="41">
        <v>17</v>
      </c>
      <c r="B24" s="38" t="s">
        <v>391</v>
      </c>
      <c r="C24" s="119"/>
      <c r="D24" s="17" t="s">
        <v>392</v>
      </c>
      <c r="E24" s="18" t="s">
        <v>257</v>
      </c>
      <c r="F24" s="18" t="s">
        <v>257</v>
      </c>
      <c r="G24" s="18" t="s">
        <v>257</v>
      </c>
      <c r="H24" s="18" t="s">
        <v>257</v>
      </c>
      <c r="I24" s="18" t="s">
        <v>257</v>
      </c>
      <c r="J24" s="18" t="s">
        <v>257</v>
      </c>
      <c r="K24" s="16" t="str">
        <f t="shared" si="0"/>
        <v>0 شراء  •  0 بيع  •  6 محايد</v>
      </c>
      <c r="L24" s="28">
        <f t="shared" si="1"/>
        <v>0</v>
      </c>
      <c r="M24" s="29">
        <v>4.20168067226891E-3</v>
      </c>
      <c r="N24" s="30">
        <f t="shared" si="2"/>
        <v>0</v>
      </c>
      <c r="O24" s="31" t="str">
        <f t="shared" si="3"/>
        <v>محايد</v>
      </c>
      <c r="P24" s="32" t="s">
        <v>393</v>
      </c>
    </row>
    <row r="25" spans="1:16" ht="99.75" customHeight="1">
      <c r="A25" s="41">
        <v>18</v>
      </c>
      <c r="B25" s="26" t="s">
        <v>394</v>
      </c>
      <c r="C25" s="99"/>
      <c r="D25" s="22" t="s">
        <v>395</v>
      </c>
      <c r="E25" s="18" t="s">
        <v>257</v>
      </c>
      <c r="F25" s="18" t="s">
        <v>257</v>
      </c>
      <c r="G25" s="18" t="s">
        <v>257</v>
      </c>
      <c r="H25" s="18" t="s">
        <v>257</v>
      </c>
      <c r="I25" s="18" t="s">
        <v>257</v>
      </c>
      <c r="J25" s="18" t="s">
        <v>257</v>
      </c>
      <c r="K25" s="21" t="str">
        <f t="shared" si="0"/>
        <v>0 شراء  •  0 بيع  •  6 محايد</v>
      </c>
      <c r="L25" s="33">
        <f t="shared" si="1"/>
        <v>0</v>
      </c>
      <c r="M25" s="29">
        <v>8.40336134453782E-3</v>
      </c>
      <c r="N25" s="34">
        <f t="shared" si="2"/>
        <v>0</v>
      </c>
      <c r="O25" s="31" t="str">
        <f t="shared" si="3"/>
        <v>محايد</v>
      </c>
      <c r="P25" s="32" t="s">
        <v>396</v>
      </c>
    </row>
    <row r="26" spans="1:16" ht="99.75" customHeight="1">
      <c r="A26" s="42">
        <v>19</v>
      </c>
      <c r="B26" s="38" t="s">
        <v>397</v>
      </c>
      <c r="C26" s="120" t="s">
        <v>319</v>
      </c>
      <c r="D26" s="17" t="s">
        <v>398</v>
      </c>
      <c r="E26" s="18" t="s">
        <v>257</v>
      </c>
      <c r="F26" s="18" t="s">
        <v>257</v>
      </c>
      <c r="G26" s="18" t="s">
        <v>257</v>
      </c>
      <c r="H26" s="18" t="s">
        <v>257</v>
      </c>
      <c r="I26" s="18" t="s">
        <v>257</v>
      </c>
      <c r="J26" s="18" t="s">
        <v>257</v>
      </c>
      <c r="K26" s="16" t="str">
        <f t="shared" si="0"/>
        <v>0 شراء  •  0 بيع  •  6 محايد</v>
      </c>
      <c r="L26" s="28">
        <f t="shared" si="1"/>
        <v>0</v>
      </c>
      <c r="M26" s="29">
        <v>4.20168067226891E-3</v>
      </c>
      <c r="N26" s="30">
        <f t="shared" si="2"/>
        <v>0</v>
      </c>
      <c r="O26" s="31" t="str">
        <f t="shared" si="3"/>
        <v>محايد</v>
      </c>
      <c r="P26" s="32" t="s">
        <v>399</v>
      </c>
    </row>
    <row r="27" spans="1:16" ht="99.75" customHeight="1">
      <c r="A27" s="42">
        <v>20</v>
      </c>
      <c r="B27" s="49" t="s">
        <v>400</v>
      </c>
      <c r="C27" s="121"/>
      <c r="D27" s="22" t="s">
        <v>401</v>
      </c>
      <c r="E27" s="18" t="s">
        <v>257</v>
      </c>
      <c r="F27" s="18" t="s">
        <v>257</v>
      </c>
      <c r="G27" s="18" t="s">
        <v>257</v>
      </c>
      <c r="H27" s="18" t="s">
        <v>257</v>
      </c>
      <c r="I27" s="18" t="s">
        <v>257</v>
      </c>
      <c r="J27" s="18" t="s">
        <v>257</v>
      </c>
      <c r="K27" s="21" t="str">
        <f t="shared" si="0"/>
        <v>0 شراء  •  0 بيع  •  6 محايد</v>
      </c>
      <c r="L27" s="33">
        <f t="shared" si="1"/>
        <v>0</v>
      </c>
      <c r="M27" s="29">
        <v>2.1008403361344498E-3</v>
      </c>
      <c r="N27" s="34">
        <f t="shared" si="2"/>
        <v>0</v>
      </c>
      <c r="O27" s="31" t="str">
        <f t="shared" si="3"/>
        <v>محايد</v>
      </c>
      <c r="P27" s="32" t="s">
        <v>402</v>
      </c>
    </row>
    <row r="28" spans="1:16" ht="99.75" customHeight="1">
      <c r="A28" s="42">
        <v>21</v>
      </c>
      <c r="B28" s="49" t="s">
        <v>403</v>
      </c>
      <c r="C28" s="121"/>
      <c r="D28" s="17" t="s">
        <v>404</v>
      </c>
      <c r="E28" s="18" t="s">
        <v>257</v>
      </c>
      <c r="F28" s="18" t="s">
        <v>257</v>
      </c>
      <c r="G28" s="18" t="s">
        <v>257</v>
      </c>
      <c r="H28" s="18" t="s">
        <v>257</v>
      </c>
      <c r="I28" s="18" t="s">
        <v>257</v>
      </c>
      <c r="J28" s="18" t="s">
        <v>257</v>
      </c>
      <c r="K28" s="16" t="str">
        <f t="shared" si="0"/>
        <v>0 شراء  •  0 بيع  •  6 محايد</v>
      </c>
      <c r="L28" s="28">
        <f t="shared" si="1"/>
        <v>0</v>
      </c>
      <c r="M28" s="29">
        <v>2.1008403361344498E-3</v>
      </c>
      <c r="N28" s="30">
        <f t="shared" si="2"/>
        <v>0</v>
      </c>
      <c r="O28" s="31" t="str">
        <f t="shared" si="3"/>
        <v>محايد</v>
      </c>
      <c r="P28" s="32" t="s">
        <v>405</v>
      </c>
    </row>
    <row r="29" spans="1:16" ht="99.75" customHeight="1">
      <c r="A29" s="42">
        <v>22</v>
      </c>
      <c r="B29" s="49" t="s">
        <v>406</v>
      </c>
      <c r="C29" s="121"/>
      <c r="D29" s="22" t="s">
        <v>407</v>
      </c>
      <c r="E29" s="18" t="s">
        <v>257</v>
      </c>
      <c r="F29" s="18" t="s">
        <v>257</v>
      </c>
      <c r="G29" s="18" t="s">
        <v>257</v>
      </c>
      <c r="H29" s="18" t="s">
        <v>257</v>
      </c>
      <c r="I29" s="18" t="s">
        <v>257</v>
      </c>
      <c r="J29" s="18" t="s">
        <v>257</v>
      </c>
      <c r="K29" s="21" t="str">
        <f t="shared" si="0"/>
        <v>0 شراء  •  0 بيع  •  6 محايد</v>
      </c>
      <c r="L29" s="33">
        <f t="shared" si="1"/>
        <v>0</v>
      </c>
      <c r="M29" s="29">
        <v>2.1008403361344498E-3</v>
      </c>
      <c r="N29" s="34">
        <f t="shared" si="2"/>
        <v>0</v>
      </c>
      <c r="O29" s="31" t="str">
        <f t="shared" si="3"/>
        <v>محايد</v>
      </c>
      <c r="P29" s="32" t="s">
        <v>408</v>
      </c>
    </row>
    <row r="30" spans="1:16" ht="99.75" customHeight="1">
      <c r="A30" s="42">
        <v>23</v>
      </c>
      <c r="B30" s="26" t="s">
        <v>409</v>
      </c>
      <c r="C30" s="121"/>
      <c r="D30" s="17" t="s">
        <v>410</v>
      </c>
      <c r="E30" s="18" t="s">
        <v>257</v>
      </c>
      <c r="F30" s="18" t="s">
        <v>257</v>
      </c>
      <c r="G30" s="18" t="s">
        <v>257</v>
      </c>
      <c r="H30" s="18" t="s">
        <v>257</v>
      </c>
      <c r="I30" s="18" t="s">
        <v>257</v>
      </c>
      <c r="J30" s="18" t="s">
        <v>257</v>
      </c>
      <c r="K30" s="16" t="str">
        <f t="shared" si="0"/>
        <v>0 شراء  •  0 بيع  •  6 محايد</v>
      </c>
      <c r="L30" s="28">
        <f t="shared" si="1"/>
        <v>0</v>
      </c>
      <c r="M30" s="29">
        <v>8.40336134453782E-3</v>
      </c>
      <c r="N30" s="30">
        <f t="shared" si="2"/>
        <v>0</v>
      </c>
      <c r="O30" s="31" t="str">
        <f t="shared" si="3"/>
        <v>محايد</v>
      </c>
      <c r="P30" s="32" t="s">
        <v>411</v>
      </c>
    </row>
    <row r="31" spans="1:16" ht="99.75" customHeight="1">
      <c r="A31" s="42">
        <v>24</v>
      </c>
      <c r="B31" s="35" t="s">
        <v>412</v>
      </c>
      <c r="C31" s="121"/>
      <c r="D31" s="22" t="s">
        <v>413</v>
      </c>
      <c r="E31" s="18" t="s">
        <v>257</v>
      </c>
      <c r="F31" s="18" t="s">
        <v>257</v>
      </c>
      <c r="G31" s="18" t="s">
        <v>257</v>
      </c>
      <c r="H31" s="18" t="s">
        <v>257</v>
      </c>
      <c r="I31" s="18" t="s">
        <v>257</v>
      </c>
      <c r="J31" s="18" t="s">
        <v>257</v>
      </c>
      <c r="K31" s="21" t="str">
        <f t="shared" si="0"/>
        <v>0 شراء  •  0 بيع  •  6 محايد</v>
      </c>
      <c r="L31" s="33">
        <f t="shared" si="1"/>
        <v>0</v>
      </c>
      <c r="M31" s="29">
        <v>6.3025210084033598E-3</v>
      </c>
      <c r="N31" s="34">
        <f t="shared" si="2"/>
        <v>0</v>
      </c>
      <c r="O31" s="31" t="str">
        <f t="shared" si="3"/>
        <v>محايد</v>
      </c>
      <c r="P31" s="32" t="s">
        <v>414</v>
      </c>
    </row>
    <row r="32" spans="1:16" ht="99.75" customHeight="1">
      <c r="A32" s="42">
        <v>25</v>
      </c>
      <c r="B32" s="49" t="s">
        <v>415</v>
      </c>
      <c r="C32" s="122"/>
      <c r="D32" s="17" t="s">
        <v>416</v>
      </c>
      <c r="E32" s="18" t="s">
        <v>257</v>
      </c>
      <c r="F32" s="18" t="s">
        <v>257</v>
      </c>
      <c r="G32" s="18" t="s">
        <v>257</v>
      </c>
      <c r="H32" s="18" t="s">
        <v>257</v>
      </c>
      <c r="I32" s="18" t="s">
        <v>257</v>
      </c>
      <c r="J32" s="18" t="s">
        <v>257</v>
      </c>
      <c r="K32" s="16" t="str">
        <f t="shared" si="0"/>
        <v>0 شراء  •  0 بيع  •  6 محايد</v>
      </c>
      <c r="L32" s="28">
        <f t="shared" si="1"/>
        <v>0</v>
      </c>
      <c r="M32" s="29">
        <v>2.1008403361344498E-3</v>
      </c>
      <c r="N32" s="30">
        <f t="shared" si="2"/>
        <v>0</v>
      </c>
      <c r="O32" s="31" t="str">
        <f t="shared" si="3"/>
        <v>محايد</v>
      </c>
      <c r="P32" s="32" t="s">
        <v>417</v>
      </c>
    </row>
    <row r="33" spans="1:16" ht="99.75" customHeight="1">
      <c r="A33" s="50">
        <v>26</v>
      </c>
      <c r="B33" s="38" t="s">
        <v>418</v>
      </c>
      <c r="C33" s="123" t="s">
        <v>419</v>
      </c>
      <c r="D33" s="22" t="s">
        <v>420</v>
      </c>
      <c r="E33" s="18" t="s">
        <v>257</v>
      </c>
      <c r="F33" s="18" t="s">
        <v>257</v>
      </c>
      <c r="G33" s="18" t="s">
        <v>257</v>
      </c>
      <c r="H33" s="18" t="s">
        <v>257</v>
      </c>
      <c r="I33" s="18" t="s">
        <v>257</v>
      </c>
      <c r="J33" s="18" t="s">
        <v>257</v>
      </c>
      <c r="K33" s="21" t="str">
        <f t="shared" si="0"/>
        <v>0 شراء  •  0 بيع  •  6 محايد</v>
      </c>
      <c r="L33" s="33">
        <f t="shared" si="1"/>
        <v>0</v>
      </c>
      <c r="M33" s="29">
        <v>4.20168067226891E-3</v>
      </c>
      <c r="N33" s="34">
        <f t="shared" si="2"/>
        <v>0</v>
      </c>
      <c r="O33" s="31" t="str">
        <f t="shared" si="3"/>
        <v>محايد</v>
      </c>
      <c r="P33" s="32" t="s">
        <v>421</v>
      </c>
    </row>
    <row r="34" spans="1:16" ht="99.75" customHeight="1">
      <c r="A34" s="50">
        <v>27</v>
      </c>
      <c r="B34" s="38" t="s">
        <v>422</v>
      </c>
      <c r="C34" s="124"/>
      <c r="D34" s="17" t="s">
        <v>423</v>
      </c>
      <c r="E34" s="18" t="s">
        <v>257</v>
      </c>
      <c r="F34" s="18" t="s">
        <v>257</v>
      </c>
      <c r="G34" s="18" t="s">
        <v>257</v>
      </c>
      <c r="H34" s="18" t="s">
        <v>257</v>
      </c>
      <c r="I34" s="18" t="s">
        <v>257</v>
      </c>
      <c r="J34" s="18" t="s">
        <v>257</v>
      </c>
      <c r="K34" s="16" t="str">
        <f t="shared" si="0"/>
        <v>0 شراء  •  0 بيع  •  6 محايد</v>
      </c>
      <c r="L34" s="28">
        <f t="shared" si="1"/>
        <v>0</v>
      </c>
      <c r="M34" s="29">
        <v>4.20168067226891E-3</v>
      </c>
      <c r="N34" s="30">
        <f t="shared" si="2"/>
        <v>0</v>
      </c>
      <c r="O34" s="31" t="str">
        <f t="shared" si="3"/>
        <v>محايد</v>
      </c>
      <c r="P34" s="32" t="s">
        <v>424</v>
      </c>
    </row>
    <row r="35" spans="1:16" ht="99.75" customHeight="1">
      <c r="A35" s="50">
        <v>28</v>
      </c>
      <c r="B35" s="49" t="s">
        <v>425</v>
      </c>
      <c r="C35" s="124"/>
      <c r="D35" s="22" t="s">
        <v>426</v>
      </c>
      <c r="E35" s="18" t="s">
        <v>257</v>
      </c>
      <c r="F35" s="18" t="s">
        <v>257</v>
      </c>
      <c r="G35" s="18" t="s">
        <v>257</v>
      </c>
      <c r="H35" s="18" t="s">
        <v>257</v>
      </c>
      <c r="I35" s="18" t="s">
        <v>257</v>
      </c>
      <c r="J35" s="18" t="s">
        <v>257</v>
      </c>
      <c r="K35" s="21" t="str">
        <f t="shared" si="0"/>
        <v>0 شراء  •  0 بيع  •  6 محايد</v>
      </c>
      <c r="L35" s="33">
        <f t="shared" si="1"/>
        <v>0</v>
      </c>
      <c r="M35" s="29">
        <v>2.1008403361344498E-3</v>
      </c>
      <c r="N35" s="34">
        <f t="shared" si="2"/>
        <v>0</v>
      </c>
      <c r="O35" s="31" t="str">
        <f t="shared" si="3"/>
        <v>محايد</v>
      </c>
      <c r="P35" s="32" t="s">
        <v>427</v>
      </c>
    </row>
    <row r="36" spans="1:16" ht="99.75" customHeight="1">
      <c r="A36" s="50">
        <v>29</v>
      </c>
      <c r="B36" s="49" t="s">
        <v>428</v>
      </c>
      <c r="C36" s="124"/>
      <c r="D36" s="17" t="s">
        <v>429</v>
      </c>
      <c r="E36" s="18" t="s">
        <v>257</v>
      </c>
      <c r="F36" s="18" t="s">
        <v>257</v>
      </c>
      <c r="G36" s="18" t="s">
        <v>257</v>
      </c>
      <c r="H36" s="18" t="s">
        <v>257</v>
      </c>
      <c r="I36" s="18" t="s">
        <v>257</v>
      </c>
      <c r="J36" s="18" t="s">
        <v>257</v>
      </c>
      <c r="K36" s="16" t="str">
        <f t="shared" si="0"/>
        <v>0 شراء  •  0 بيع  •  6 محايد</v>
      </c>
      <c r="L36" s="28">
        <f t="shared" si="1"/>
        <v>0</v>
      </c>
      <c r="M36" s="29">
        <v>2.1008403361344498E-3</v>
      </c>
      <c r="N36" s="30">
        <f t="shared" si="2"/>
        <v>0</v>
      </c>
      <c r="O36" s="31" t="str">
        <f t="shared" si="3"/>
        <v>محايد</v>
      </c>
      <c r="P36" s="32" t="s">
        <v>430</v>
      </c>
    </row>
    <row r="37" spans="1:16" ht="99.75" customHeight="1">
      <c r="A37" s="50">
        <v>30</v>
      </c>
      <c r="B37" s="38" t="s">
        <v>431</v>
      </c>
      <c r="C37" s="124"/>
      <c r="D37" s="22" t="s">
        <v>432</v>
      </c>
      <c r="E37" s="18" t="s">
        <v>257</v>
      </c>
      <c r="F37" s="18" t="s">
        <v>257</v>
      </c>
      <c r="G37" s="18" t="s">
        <v>257</v>
      </c>
      <c r="H37" s="18" t="s">
        <v>257</v>
      </c>
      <c r="I37" s="18" t="s">
        <v>257</v>
      </c>
      <c r="J37" s="18" t="s">
        <v>257</v>
      </c>
      <c r="K37" s="21" t="str">
        <f t="shared" si="0"/>
        <v>0 شراء  •  0 بيع  •  6 محايد</v>
      </c>
      <c r="L37" s="33">
        <f t="shared" si="1"/>
        <v>0</v>
      </c>
      <c r="M37" s="29">
        <v>4.20168067226891E-3</v>
      </c>
      <c r="N37" s="34">
        <f t="shared" si="2"/>
        <v>0</v>
      </c>
      <c r="O37" s="31" t="str">
        <f t="shared" si="3"/>
        <v>محايد</v>
      </c>
      <c r="P37" s="32" t="s">
        <v>433</v>
      </c>
    </row>
    <row r="38" spans="1:16" ht="99.75" customHeight="1">
      <c r="A38" s="50">
        <v>31</v>
      </c>
      <c r="B38" s="38" t="s">
        <v>434</v>
      </c>
      <c r="C38" s="124"/>
      <c r="D38" s="17" t="s">
        <v>435</v>
      </c>
      <c r="E38" s="18" t="s">
        <v>257</v>
      </c>
      <c r="F38" s="18" t="s">
        <v>257</v>
      </c>
      <c r="G38" s="18" t="s">
        <v>257</v>
      </c>
      <c r="H38" s="18" t="s">
        <v>257</v>
      </c>
      <c r="I38" s="18" t="s">
        <v>257</v>
      </c>
      <c r="J38" s="18" t="s">
        <v>257</v>
      </c>
      <c r="K38" s="16" t="str">
        <f t="shared" si="0"/>
        <v>0 شراء  •  0 بيع  •  6 محايد</v>
      </c>
      <c r="L38" s="28">
        <f t="shared" si="1"/>
        <v>0</v>
      </c>
      <c r="M38" s="29">
        <v>4.20168067226891E-3</v>
      </c>
      <c r="N38" s="30">
        <f t="shared" si="2"/>
        <v>0</v>
      </c>
      <c r="O38" s="31" t="str">
        <f t="shared" si="3"/>
        <v>محايد</v>
      </c>
      <c r="P38" s="32" t="s">
        <v>436</v>
      </c>
    </row>
    <row r="39" spans="1:16" ht="99.75" customHeight="1">
      <c r="A39" s="50">
        <v>32</v>
      </c>
      <c r="B39" s="38" t="s">
        <v>437</v>
      </c>
      <c r="C39" s="125"/>
      <c r="D39" s="22" t="s">
        <v>438</v>
      </c>
      <c r="E39" s="18" t="s">
        <v>257</v>
      </c>
      <c r="F39" s="18" t="s">
        <v>257</v>
      </c>
      <c r="G39" s="18" t="s">
        <v>257</v>
      </c>
      <c r="H39" s="18" t="s">
        <v>257</v>
      </c>
      <c r="I39" s="18" t="s">
        <v>257</v>
      </c>
      <c r="J39" s="18" t="s">
        <v>257</v>
      </c>
      <c r="K39" s="21" t="str">
        <f t="shared" si="0"/>
        <v>0 شراء  •  0 بيع  •  6 محايد</v>
      </c>
      <c r="L39" s="33">
        <f t="shared" si="1"/>
        <v>0</v>
      </c>
      <c r="M39" s="29">
        <v>4.20168067226891E-3</v>
      </c>
      <c r="N39" s="34">
        <f t="shared" si="2"/>
        <v>0</v>
      </c>
      <c r="O39" s="31" t="str">
        <f t="shared" si="3"/>
        <v>محايد</v>
      </c>
      <c r="P39" s="32" t="s">
        <v>439</v>
      </c>
    </row>
    <row r="40" spans="1:16" ht="99.75" customHeight="1">
      <c r="A40" s="51">
        <v>33</v>
      </c>
      <c r="B40" s="35" t="s">
        <v>440</v>
      </c>
      <c r="C40" s="126" t="s">
        <v>441</v>
      </c>
      <c r="D40" s="17" t="s">
        <v>442</v>
      </c>
      <c r="E40" s="18" t="s">
        <v>257</v>
      </c>
      <c r="F40" s="18" t="s">
        <v>257</v>
      </c>
      <c r="G40" s="18" t="s">
        <v>257</v>
      </c>
      <c r="H40" s="18" t="s">
        <v>257</v>
      </c>
      <c r="I40" s="18" t="s">
        <v>257</v>
      </c>
      <c r="J40" s="18" t="s">
        <v>257</v>
      </c>
      <c r="K40" s="16" t="str">
        <f t="shared" si="0"/>
        <v>0 شراء  •  0 بيع  •  6 محايد</v>
      </c>
      <c r="L40" s="28">
        <f t="shared" si="1"/>
        <v>0</v>
      </c>
      <c r="M40" s="29">
        <v>6.3025210084033598E-3</v>
      </c>
      <c r="N40" s="30">
        <f t="shared" si="2"/>
        <v>0</v>
      </c>
      <c r="O40" s="31" t="str">
        <f t="shared" si="3"/>
        <v>محايد</v>
      </c>
      <c r="P40" s="32" t="s">
        <v>443</v>
      </c>
    </row>
    <row r="41" spans="1:16" ht="99.75" customHeight="1">
      <c r="A41" s="51">
        <v>34</v>
      </c>
      <c r="B41" s="35" t="s">
        <v>444</v>
      </c>
      <c r="C41" s="127"/>
      <c r="D41" s="22" t="s">
        <v>445</v>
      </c>
      <c r="E41" s="18" t="s">
        <v>257</v>
      </c>
      <c r="F41" s="18" t="s">
        <v>257</v>
      </c>
      <c r="G41" s="18" t="s">
        <v>257</v>
      </c>
      <c r="H41" s="18" t="s">
        <v>257</v>
      </c>
      <c r="I41" s="18" t="s">
        <v>257</v>
      </c>
      <c r="J41" s="18" t="s">
        <v>257</v>
      </c>
      <c r="K41" s="21" t="str">
        <f t="shared" si="0"/>
        <v>0 شراء  •  0 بيع  •  6 محايد</v>
      </c>
      <c r="L41" s="33">
        <f t="shared" si="1"/>
        <v>0</v>
      </c>
      <c r="M41" s="29">
        <v>6.3025210084033598E-3</v>
      </c>
      <c r="N41" s="34">
        <f t="shared" si="2"/>
        <v>0</v>
      </c>
      <c r="O41" s="31" t="str">
        <f t="shared" si="3"/>
        <v>محايد</v>
      </c>
      <c r="P41" s="32" t="s">
        <v>446</v>
      </c>
    </row>
    <row r="42" spans="1:16" ht="99.75" customHeight="1">
      <c r="A42" s="51">
        <v>35</v>
      </c>
      <c r="B42" s="35" t="s">
        <v>447</v>
      </c>
      <c r="C42" s="127"/>
      <c r="D42" s="17" t="s">
        <v>448</v>
      </c>
      <c r="E42" s="18" t="s">
        <v>257</v>
      </c>
      <c r="F42" s="18" t="s">
        <v>257</v>
      </c>
      <c r="G42" s="18" t="s">
        <v>257</v>
      </c>
      <c r="H42" s="18" t="s">
        <v>257</v>
      </c>
      <c r="I42" s="18" t="s">
        <v>257</v>
      </c>
      <c r="J42" s="18" t="s">
        <v>257</v>
      </c>
      <c r="K42" s="16" t="str">
        <f t="shared" si="0"/>
        <v>0 شراء  •  0 بيع  •  6 محايد</v>
      </c>
      <c r="L42" s="28">
        <f t="shared" si="1"/>
        <v>0</v>
      </c>
      <c r="M42" s="29">
        <v>6.3025210084033598E-3</v>
      </c>
      <c r="N42" s="30">
        <f t="shared" si="2"/>
        <v>0</v>
      </c>
      <c r="O42" s="31" t="str">
        <f t="shared" si="3"/>
        <v>محايد</v>
      </c>
      <c r="P42" s="32" t="s">
        <v>449</v>
      </c>
    </row>
    <row r="43" spans="1:16" ht="99.75" customHeight="1">
      <c r="A43" s="51">
        <v>36</v>
      </c>
      <c r="B43" s="26" t="s">
        <v>450</v>
      </c>
      <c r="C43" s="127"/>
      <c r="D43" s="22" t="s">
        <v>451</v>
      </c>
      <c r="E43" s="18" t="s">
        <v>257</v>
      </c>
      <c r="F43" s="18" t="s">
        <v>257</v>
      </c>
      <c r="G43" s="18" t="s">
        <v>257</v>
      </c>
      <c r="H43" s="18" t="s">
        <v>257</v>
      </c>
      <c r="I43" s="18" t="s">
        <v>257</v>
      </c>
      <c r="J43" s="18" t="s">
        <v>257</v>
      </c>
      <c r="K43" s="21" t="str">
        <f t="shared" si="0"/>
        <v>0 شراء  •  0 بيع  •  6 محايد</v>
      </c>
      <c r="L43" s="33">
        <f t="shared" si="1"/>
        <v>0</v>
      </c>
      <c r="M43" s="29">
        <v>8.40336134453782E-3</v>
      </c>
      <c r="N43" s="34">
        <f t="shared" si="2"/>
        <v>0</v>
      </c>
      <c r="O43" s="31" t="str">
        <f t="shared" si="3"/>
        <v>محايد</v>
      </c>
      <c r="P43" s="32" t="s">
        <v>452</v>
      </c>
    </row>
    <row r="44" spans="1:16" ht="99.75" customHeight="1">
      <c r="A44" s="51">
        <v>37</v>
      </c>
      <c r="B44" s="38" t="s">
        <v>453</v>
      </c>
      <c r="C44" s="127"/>
      <c r="D44" s="17" t="s">
        <v>454</v>
      </c>
      <c r="E44" s="18" t="s">
        <v>257</v>
      </c>
      <c r="F44" s="18" t="s">
        <v>257</v>
      </c>
      <c r="G44" s="18" t="s">
        <v>257</v>
      </c>
      <c r="H44" s="18" t="s">
        <v>257</v>
      </c>
      <c r="I44" s="18" t="s">
        <v>257</v>
      </c>
      <c r="J44" s="18" t="s">
        <v>257</v>
      </c>
      <c r="K44" s="16" t="str">
        <f t="shared" si="0"/>
        <v>0 شراء  •  0 بيع  •  6 محايد</v>
      </c>
      <c r="L44" s="28">
        <f t="shared" si="1"/>
        <v>0</v>
      </c>
      <c r="M44" s="29">
        <v>4.20168067226891E-3</v>
      </c>
      <c r="N44" s="30">
        <f t="shared" si="2"/>
        <v>0</v>
      </c>
      <c r="O44" s="31" t="str">
        <f t="shared" si="3"/>
        <v>محايد</v>
      </c>
      <c r="P44" s="32" t="s">
        <v>455</v>
      </c>
    </row>
    <row r="45" spans="1:16" ht="99.75" customHeight="1">
      <c r="A45" s="51">
        <v>38</v>
      </c>
      <c r="B45" s="35" t="s">
        <v>456</v>
      </c>
      <c r="C45" s="127"/>
      <c r="D45" s="22" t="s">
        <v>457</v>
      </c>
      <c r="E45" s="18" t="s">
        <v>257</v>
      </c>
      <c r="F45" s="18" t="s">
        <v>257</v>
      </c>
      <c r="G45" s="18" t="s">
        <v>257</v>
      </c>
      <c r="H45" s="18" t="s">
        <v>257</v>
      </c>
      <c r="I45" s="18" t="s">
        <v>257</v>
      </c>
      <c r="J45" s="18" t="s">
        <v>257</v>
      </c>
      <c r="K45" s="21" t="str">
        <f t="shared" si="0"/>
        <v>0 شراء  •  0 بيع  •  6 محايد</v>
      </c>
      <c r="L45" s="33">
        <f t="shared" si="1"/>
        <v>0</v>
      </c>
      <c r="M45" s="29">
        <v>6.3025210084033598E-3</v>
      </c>
      <c r="N45" s="34">
        <f t="shared" si="2"/>
        <v>0</v>
      </c>
      <c r="O45" s="31" t="str">
        <f t="shared" si="3"/>
        <v>محايد</v>
      </c>
      <c r="P45" s="32" t="s">
        <v>458</v>
      </c>
    </row>
    <row r="46" spans="1:16" ht="99.75" customHeight="1">
      <c r="A46" s="51">
        <v>39</v>
      </c>
      <c r="B46" s="38" t="s">
        <v>459</v>
      </c>
      <c r="C46" s="127"/>
      <c r="D46" s="17" t="s">
        <v>460</v>
      </c>
      <c r="E46" s="18" t="s">
        <v>257</v>
      </c>
      <c r="F46" s="18" t="s">
        <v>257</v>
      </c>
      <c r="G46" s="18" t="s">
        <v>257</v>
      </c>
      <c r="H46" s="18" t="s">
        <v>257</v>
      </c>
      <c r="I46" s="18" t="s">
        <v>257</v>
      </c>
      <c r="J46" s="18" t="s">
        <v>257</v>
      </c>
      <c r="K46" s="16" t="str">
        <f t="shared" si="0"/>
        <v>0 شراء  •  0 بيع  •  6 محايد</v>
      </c>
      <c r="L46" s="28">
        <f t="shared" si="1"/>
        <v>0</v>
      </c>
      <c r="M46" s="29">
        <v>4.20168067226891E-3</v>
      </c>
      <c r="N46" s="30">
        <f t="shared" si="2"/>
        <v>0</v>
      </c>
      <c r="O46" s="31" t="str">
        <f t="shared" si="3"/>
        <v>محايد</v>
      </c>
      <c r="P46" s="32" t="s">
        <v>461</v>
      </c>
    </row>
    <row r="47" spans="1:16" ht="99.75" customHeight="1">
      <c r="A47" s="51">
        <v>40</v>
      </c>
      <c r="B47" s="35" t="s">
        <v>462</v>
      </c>
      <c r="C47" s="127"/>
      <c r="D47" s="22" t="s">
        <v>463</v>
      </c>
      <c r="E47" s="18" t="s">
        <v>257</v>
      </c>
      <c r="F47" s="18" t="s">
        <v>257</v>
      </c>
      <c r="G47" s="18" t="s">
        <v>257</v>
      </c>
      <c r="H47" s="18" t="s">
        <v>257</v>
      </c>
      <c r="I47" s="18" t="s">
        <v>257</v>
      </c>
      <c r="J47" s="18" t="s">
        <v>257</v>
      </c>
      <c r="K47" s="21" t="str">
        <f t="shared" si="0"/>
        <v>0 شراء  •  0 بيع  •  6 محايد</v>
      </c>
      <c r="L47" s="33">
        <f t="shared" si="1"/>
        <v>0</v>
      </c>
      <c r="M47" s="29">
        <v>6.3025210084033598E-3</v>
      </c>
      <c r="N47" s="34">
        <f t="shared" si="2"/>
        <v>0</v>
      </c>
      <c r="O47" s="31" t="str">
        <f t="shared" si="3"/>
        <v>محايد</v>
      </c>
      <c r="P47" s="32" t="s">
        <v>464</v>
      </c>
    </row>
    <row r="48" spans="1:16" ht="99.75" customHeight="1">
      <c r="A48" s="51">
        <v>41</v>
      </c>
      <c r="B48" s="35" t="s">
        <v>465</v>
      </c>
      <c r="C48" s="127"/>
      <c r="D48" s="17" t="s">
        <v>466</v>
      </c>
      <c r="E48" s="18" t="s">
        <v>257</v>
      </c>
      <c r="F48" s="18" t="s">
        <v>257</v>
      </c>
      <c r="G48" s="18" t="s">
        <v>257</v>
      </c>
      <c r="H48" s="18" t="s">
        <v>257</v>
      </c>
      <c r="I48" s="18" t="s">
        <v>257</v>
      </c>
      <c r="J48" s="18" t="s">
        <v>257</v>
      </c>
      <c r="K48" s="16" t="str">
        <f t="shared" si="0"/>
        <v>0 شراء  •  0 بيع  •  6 محايد</v>
      </c>
      <c r="L48" s="28">
        <f t="shared" si="1"/>
        <v>0</v>
      </c>
      <c r="M48" s="29">
        <v>6.3025210084033598E-3</v>
      </c>
      <c r="N48" s="30">
        <f t="shared" si="2"/>
        <v>0</v>
      </c>
      <c r="O48" s="31" t="str">
        <f t="shared" si="3"/>
        <v>محايد</v>
      </c>
      <c r="P48" s="32" t="s">
        <v>467</v>
      </c>
    </row>
    <row r="49" spans="1:16" ht="99.75" customHeight="1">
      <c r="A49" s="51">
        <v>42</v>
      </c>
      <c r="B49" s="38" t="s">
        <v>468</v>
      </c>
      <c r="C49" s="128"/>
      <c r="D49" s="22" t="s">
        <v>469</v>
      </c>
      <c r="E49" s="18" t="s">
        <v>257</v>
      </c>
      <c r="F49" s="18" t="s">
        <v>257</v>
      </c>
      <c r="G49" s="18" t="s">
        <v>257</v>
      </c>
      <c r="H49" s="18" t="s">
        <v>257</v>
      </c>
      <c r="I49" s="18" t="s">
        <v>257</v>
      </c>
      <c r="J49" s="18" t="s">
        <v>257</v>
      </c>
      <c r="K49" s="21" t="str">
        <f t="shared" si="0"/>
        <v>0 شراء  •  0 بيع  •  6 محايد</v>
      </c>
      <c r="L49" s="33">
        <f t="shared" si="1"/>
        <v>0</v>
      </c>
      <c r="M49" s="29">
        <v>4.20168067226891E-3</v>
      </c>
      <c r="N49" s="34">
        <f t="shared" si="2"/>
        <v>0</v>
      </c>
      <c r="O49" s="31" t="str">
        <f t="shared" si="3"/>
        <v>محايد</v>
      </c>
      <c r="P49" s="32" t="s">
        <v>470</v>
      </c>
    </row>
    <row r="50" spans="1:16" ht="99.75" customHeight="1">
      <c r="A50" s="52">
        <v>43</v>
      </c>
      <c r="B50" s="35" t="s">
        <v>471</v>
      </c>
      <c r="C50" s="129" t="s">
        <v>472</v>
      </c>
      <c r="D50" s="17" t="s">
        <v>473</v>
      </c>
      <c r="E50" s="18" t="s">
        <v>257</v>
      </c>
      <c r="F50" s="18" t="s">
        <v>257</v>
      </c>
      <c r="G50" s="18" t="s">
        <v>257</v>
      </c>
      <c r="H50" s="18" t="s">
        <v>257</v>
      </c>
      <c r="I50" s="18" t="s">
        <v>257</v>
      </c>
      <c r="J50" s="18" t="s">
        <v>257</v>
      </c>
      <c r="K50" s="16" t="str">
        <f t="shared" si="0"/>
        <v>0 شراء  •  0 بيع  •  6 محايد</v>
      </c>
      <c r="L50" s="28">
        <f t="shared" si="1"/>
        <v>0</v>
      </c>
      <c r="M50" s="29">
        <v>6.3025210084033598E-3</v>
      </c>
      <c r="N50" s="30">
        <f t="shared" si="2"/>
        <v>0</v>
      </c>
      <c r="O50" s="31" t="str">
        <f t="shared" si="3"/>
        <v>محايد</v>
      </c>
      <c r="P50" s="32" t="s">
        <v>474</v>
      </c>
    </row>
    <row r="51" spans="1:16" ht="99.75" customHeight="1">
      <c r="A51" s="52">
        <v>44</v>
      </c>
      <c r="B51" s="49" t="s">
        <v>475</v>
      </c>
      <c r="C51" s="130"/>
      <c r="D51" s="22" t="s">
        <v>476</v>
      </c>
      <c r="E51" s="18" t="s">
        <v>257</v>
      </c>
      <c r="F51" s="18" t="s">
        <v>257</v>
      </c>
      <c r="G51" s="18" t="s">
        <v>257</v>
      </c>
      <c r="H51" s="18" t="s">
        <v>257</v>
      </c>
      <c r="I51" s="18" t="s">
        <v>257</v>
      </c>
      <c r="J51" s="18" t="s">
        <v>257</v>
      </c>
      <c r="K51" s="21" t="str">
        <f t="shared" si="0"/>
        <v>0 شراء  •  0 بيع  •  6 محايد</v>
      </c>
      <c r="L51" s="33">
        <f t="shared" si="1"/>
        <v>0</v>
      </c>
      <c r="M51" s="29">
        <v>2.1008403361344498E-3</v>
      </c>
      <c r="N51" s="34">
        <f t="shared" si="2"/>
        <v>0</v>
      </c>
      <c r="O51" s="31" t="str">
        <f t="shared" si="3"/>
        <v>محايد</v>
      </c>
      <c r="P51" s="32" t="s">
        <v>477</v>
      </c>
    </row>
    <row r="52" spans="1:16" ht="99.75" customHeight="1">
      <c r="A52" s="52">
        <v>45</v>
      </c>
      <c r="B52" s="38" t="s">
        <v>478</v>
      </c>
      <c r="C52" s="130"/>
      <c r="D52" s="17" t="s">
        <v>479</v>
      </c>
      <c r="E52" s="18" t="s">
        <v>257</v>
      </c>
      <c r="F52" s="18" t="s">
        <v>257</v>
      </c>
      <c r="G52" s="18" t="s">
        <v>257</v>
      </c>
      <c r="H52" s="18" t="s">
        <v>257</v>
      </c>
      <c r="I52" s="18" t="s">
        <v>257</v>
      </c>
      <c r="J52" s="18" t="s">
        <v>257</v>
      </c>
      <c r="K52" s="16" t="str">
        <f t="shared" si="0"/>
        <v>0 شراء  •  0 بيع  •  6 محايد</v>
      </c>
      <c r="L52" s="28">
        <f t="shared" si="1"/>
        <v>0</v>
      </c>
      <c r="M52" s="29">
        <v>4.20168067226891E-3</v>
      </c>
      <c r="N52" s="30">
        <f t="shared" si="2"/>
        <v>0</v>
      </c>
      <c r="O52" s="31" t="str">
        <f t="shared" si="3"/>
        <v>محايد</v>
      </c>
      <c r="P52" s="32" t="s">
        <v>480</v>
      </c>
    </row>
    <row r="53" spans="1:16" ht="99.75" customHeight="1">
      <c r="A53" s="52">
        <v>46</v>
      </c>
      <c r="B53" s="49" t="s">
        <v>481</v>
      </c>
      <c r="C53" s="130"/>
      <c r="D53" s="22" t="s">
        <v>482</v>
      </c>
      <c r="E53" s="18" t="s">
        <v>257</v>
      </c>
      <c r="F53" s="18" t="s">
        <v>257</v>
      </c>
      <c r="G53" s="18" t="s">
        <v>257</v>
      </c>
      <c r="H53" s="18" t="s">
        <v>257</v>
      </c>
      <c r="I53" s="18" t="s">
        <v>257</v>
      </c>
      <c r="J53" s="18" t="s">
        <v>257</v>
      </c>
      <c r="K53" s="21" t="str">
        <f t="shared" si="0"/>
        <v>0 شراء  •  0 بيع  •  6 محايد</v>
      </c>
      <c r="L53" s="33">
        <f t="shared" si="1"/>
        <v>0</v>
      </c>
      <c r="M53" s="29">
        <v>2.1008403361344498E-3</v>
      </c>
      <c r="N53" s="34">
        <f t="shared" si="2"/>
        <v>0</v>
      </c>
      <c r="O53" s="31" t="str">
        <f t="shared" si="3"/>
        <v>محايد</v>
      </c>
      <c r="P53" s="32" t="s">
        <v>483</v>
      </c>
    </row>
    <row r="54" spans="1:16" ht="99.75" customHeight="1">
      <c r="A54" s="52">
        <v>47</v>
      </c>
      <c r="B54" s="35" t="s">
        <v>484</v>
      </c>
      <c r="C54" s="130"/>
      <c r="D54" s="17" t="s">
        <v>485</v>
      </c>
      <c r="E54" s="18" t="s">
        <v>257</v>
      </c>
      <c r="F54" s="18" t="s">
        <v>257</v>
      </c>
      <c r="G54" s="18" t="s">
        <v>257</v>
      </c>
      <c r="H54" s="18" t="s">
        <v>257</v>
      </c>
      <c r="I54" s="18" t="s">
        <v>257</v>
      </c>
      <c r="J54" s="18" t="s">
        <v>257</v>
      </c>
      <c r="K54" s="16" t="str">
        <f t="shared" si="0"/>
        <v>0 شراء  •  0 بيع  •  6 محايد</v>
      </c>
      <c r="L54" s="28">
        <f t="shared" si="1"/>
        <v>0</v>
      </c>
      <c r="M54" s="29">
        <v>6.3025210084033598E-3</v>
      </c>
      <c r="N54" s="30">
        <f t="shared" si="2"/>
        <v>0</v>
      </c>
      <c r="O54" s="31" t="str">
        <f t="shared" si="3"/>
        <v>محايد</v>
      </c>
      <c r="P54" s="32" t="s">
        <v>486</v>
      </c>
    </row>
    <row r="55" spans="1:16" ht="99.75" customHeight="1">
      <c r="A55" s="52">
        <v>48</v>
      </c>
      <c r="B55" s="38" t="s">
        <v>487</v>
      </c>
      <c r="C55" s="131"/>
      <c r="D55" s="22" t="s">
        <v>488</v>
      </c>
      <c r="E55" s="18" t="s">
        <v>257</v>
      </c>
      <c r="F55" s="18" t="s">
        <v>257</v>
      </c>
      <c r="G55" s="18" t="s">
        <v>257</v>
      </c>
      <c r="H55" s="18" t="s">
        <v>257</v>
      </c>
      <c r="I55" s="18" t="s">
        <v>257</v>
      </c>
      <c r="J55" s="18" t="s">
        <v>257</v>
      </c>
      <c r="K55" s="21" t="str">
        <f t="shared" si="0"/>
        <v>0 شراء  •  0 بيع  •  6 محايد</v>
      </c>
      <c r="L55" s="33">
        <f t="shared" si="1"/>
        <v>0</v>
      </c>
      <c r="M55" s="29">
        <v>4.20168067226891E-3</v>
      </c>
      <c r="N55" s="34">
        <f t="shared" si="2"/>
        <v>0</v>
      </c>
      <c r="O55" s="31" t="str">
        <f t="shared" si="3"/>
        <v>محايد</v>
      </c>
      <c r="P55" s="32" t="s">
        <v>489</v>
      </c>
    </row>
    <row r="56" spans="1:16" ht="31.5" customHeight="1">
      <c r="A56" s="95" t="s">
        <v>329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</row>
    <row r="57" spans="1:16" ht="25.5" customHeight="1">
      <c r="A57" s="109" t="s">
        <v>330</v>
      </c>
      <c r="B57" s="109"/>
      <c r="C57" s="109"/>
      <c r="D57" s="109"/>
      <c r="E57" s="6" t="s">
        <v>42</v>
      </c>
      <c r="F57" s="6" t="s">
        <v>43</v>
      </c>
      <c r="G57" s="6" t="s">
        <v>19</v>
      </c>
      <c r="H57" s="6" t="s">
        <v>44</v>
      </c>
      <c r="I57" s="6" t="s">
        <v>45</v>
      </c>
      <c r="J57" s="6" t="s">
        <v>46</v>
      </c>
    </row>
    <row r="58" spans="1:16" ht="25.5" customHeight="1">
      <c r="A58" s="110" t="s">
        <v>331</v>
      </c>
      <c r="B58" s="110"/>
      <c r="C58" s="110"/>
      <c r="D58" s="110"/>
      <c r="E58" s="44">
        <f>SUMPRODUCT((E8:E55="شراء")*(M8:M55))</f>
        <v>0</v>
      </c>
      <c r="F58" s="44">
        <f>SUMPRODUCT((F8:F55="شراء")*(M8:M55))</f>
        <v>0</v>
      </c>
      <c r="G58" s="44">
        <f>SUMPRODUCT((G8:G55="شراء")*(M8:M55))</f>
        <v>0</v>
      </c>
      <c r="H58" s="44">
        <f>SUMPRODUCT((H8:H55="شراء")*(M8:M55))</f>
        <v>0</v>
      </c>
      <c r="I58" s="44">
        <f>SUMPRODUCT((I8:I55="شراء")*(M8:M55))</f>
        <v>0</v>
      </c>
      <c r="J58" s="44">
        <f>SUMPRODUCT((J8:J55="شراء")*(M8:M55))</f>
        <v>0</v>
      </c>
    </row>
    <row r="59" spans="1:16" ht="25.5" customHeight="1">
      <c r="A59" s="111" t="s">
        <v>332</v>
      </c>
      <c r="B59" s="111"/>
      <c r="C59" s="111"/>
      <c r="D59" s="111"/>
      <c r="E59" s="45">
        <f>SUMPRODUCT((E8:E55="بيع")*(M8:M55))</f>
        <v>0</v>
      </c>
      <c r="F59" s="45">
        <f>SUMPRODUCT((F8:F55="بيع")*(M8:M55))</f>
        <v>0</v>
      </c>
      <c r="G59" s="45">
        <f>SUMPRODUCT((G8:G55="بيع")*(M8:M55))</f>
        <v>0</v>
      </c>
      <c r="H59" s="45">
        <f>SUMPRODUCT((H8:H55="بيع")*(M8:M55))</f>
        <v>0</v>
      </c>
      <c r="I59" s="45">
        <f>SUMPRODUCT((I8:I55="بيع")*(M8:M55))</f>
        <v>0</v>
      </c>
      <c r="J59" s="45">
        <f>SUMPRODUCT((J8:J55="بيع")*(M8:M55))</f>
        <v>0</v>
      </c>
    </row>
    <row r="60" spans="1:16" ht="25.5" customHeight="1">
      <c r="A60" s="112" t="s">
        <v>333</v>
      </c>
      <c r="B60" s="112"/>
      <c r="C60" s="112"/>
      <c r="D60" s="112"/>
      <c r="E60" s="46">
        <f t="shared" ref="E60:J60" si="4">E58-E59</f>
        <v>0</v>
      </c>
      <c r="F60" s="46">
        <f t="shared" si="4"/>
        <v>0</v>
      </c>
      <c r="G60" s="46">
        <f t="shared" si="4"/>
        <v>0</v>
      </c>
      <c r="H60" s="46">
        <f t="shared" si="4"/>
        <v>0</v>
      </c>
      <c r="I60" s="46">
        <f t="shared" si="4"/>
        <v>0</v>
      </c>
      <c r="J60" s="46">
        <f t="shared" si="4"/>
        <v>0</v>
      </c>
    </row>
    <row r="61" spans="1:16" ht="25.5" customHeight="1">
      <c r="A61" s="90" t="s">
        <v>334</v>
      </c>
      <c r="B61" s="90"/>
      <c r="C61" s="90"/>
      <c r="D61" s="90"/>
      <c r="E61" s="47" t="str">
        <f t="shared" ref="E61:J61" si="5">IF(E60&gt;0.015,"شراء 🟢",IF(E60&lt;-0.015,"بيع 🔴","محايد ⚪"))</f>
        <v>محايد ⚪</v>
      </c>
      <c r="F61" s="47" t="str">
        <f t="shared" si="5"/>
        <v>محايد ⚪</v>
      </c>
      <c r="G61" s="47" t="str">
        <f t="shared" si="5"/>
        <v>محايد ⚪</v>
      </c>
      <c r="H61" s="47" t="str">
        <f t="shared" si="5"/>
        <v>محايد ⚪</v>
      </c>
      <c r="I61" s="47" t="str">
        <f t="shared" si="5"/>
        <v>محايد ⚪</v>
      </c>
      <c r="J61" s="47" t="str">
        <f t="shared" si="5"/>
        <v>محايد ⚪</v>
      </c>
    </row>
    <row r="62" spans="1:16" ht="25.5" customHeight="1">
      <c r="A62" s="89" t="s">
        <v>335</v>
      </c>
      <c r="B62" s="89"/>
      <c r="C62" s="89"/>
      <c r="D62" s="89"/>
      <c r="E62" s="48">
        <f>IFERROR(ABS(E60)/SUM(M8:M55),0)</f>
        <v>0</v>
      </c>
      <c r="F62" s="48">
        <f>IFERROR(ABS(F60)/SUM(M8:M55),0)</f>
        <v>0</v>
      </c>
      <c r="G62" s="48">
        <f>IFERROR(ABS(G60)/SUM(M8:M55),0)</f>
        <v>0</v>
      </c>
      <c r="H62" s="48">
        <f>IFERROR(ABS(H60)/SUM(M8:M55),0)</f>
        <v>0</v>
      </c>
      <c r="I62" s="48">
        <f>IFERROR(ABS(I60)/SUM(M8:M55),0)</f>
        <v>0</v>
      </c>
      <c r="J62" s="48">
        <f>IFERROR(ABS(J60)/SUM(M8:M55),0)</f>
        <v>0</v>
      </c>
    </row>
  </sheetData>
  <mergeCells count="31">
    <mergeCell ref="A1:P1"/>
    <mergeCell ref="A2:P2"/>
    <mergeCell ref="A3:D3"/>
    <mergeCell ref="F3:H3"/>
    <mergeCell ref="I3:K3"/>
    <mergeCell ref="L3:P3"/>
    <mergeCell ref="A4:P4"/>
    <mergeCell ref="A5:A7"/>
    <mergeCell ref="B5:B7"/>
    <mergeCell ref="C5:C7"/>
    <mergeCell ref="D5:D7"/>
    <mergeCell ref="E5:K5"/>
    <mergeCell ref="L5:L7"/>
    <mergeCell ref="M5:M7"/>
    <mergeCell ref="N5:N7"/>
    <mergeCell ref="O5:O7"/>
    <mergeCell ref="P5:P7"/>
    <mergeCell ref="A61:D61"/>
    <mergeCell ref="A62:D62"/>
    <mergeCell ref="C10:C14"/>
    <mergeCell ref="C15:C19"/>
    <mergeCell ref="C20:C25"/>
    <mergeCell ref="C26:C32"/>
    <mergeCell ref="C33:C39"/>
    <mergeCell ref="C40:C49"/>
    <mergeCell ref="C50:C55"/>
    <mergeCell ref="A56:P56"/>
    <mergeCell ref="A57:D57"/>
    <mergeCell ref="A58:D58"/>
    <mergeCell ref="A59:D59"/>
    <mergeCell ref="A60:D60"/>
  </mergeCells>
  <conditionalFormatting sqref="E8:J55">
    <cfRule type="cellIs" dxfId="25" priority="2" operator="equal">
      <formula>"شراء"</formula>
    </cfRule>
    <cfRule type="cellIs" dxfId="24" priority="3" operator="equal">
      <formula>"بيع"</formula>
    </cfRule>
    <cfRule type="cellIs" dxfId="23" priority="4" operator="equal">
      <formula>"محايد"</formula>
    </cfRule>
  </conditionalFormatting>
  <conditionalFormatting sqref="E61:J61">
    <cfRule type="expression" dxfId="22" priority="9">
      <formula>ISNUMBER(SEARCH("شراء",E61))</formula>
    </cfRule>
    <cfRule type="expression" dxfId="21" priority="10">
      <formula>ISNUMBER(SEARCH("بيع",E61))</formula>
    </cfRule>
  </conditionalFormatting>
  <conditionalFormatting sqref="F3:H3">
    <cfRule type="expression" dxfId="20" priority="11">
      <formula>ISNUMBER(SEARCH("شراء",F3))</formula>
    </cfRule>
    <cfRule type="expression" dxfId="19" priority="12">
      <formula>ISNUMBER(SEARCH("بيع",F3))</formula>
    </cfRule>
  </conditionalFormatting>
  <conditionalFormatting sqref="L8:L55">
    <cfRule type="expression" dxfId="18" priority="7">
      <formula>L8&gt;0.001</formula>
    </cfRule>
    <cfRule type="expression" dxfId="17" priority="8">
      <formula>L8&lt;-0.001</formula>
    </cfRule>
  </conditionalFormatting>
  <conditionalFormatting sqref="O8:O55">
    <cfRule type="cellIs" dxfId="16" priority="5" operator="equal">
      <formula>"شراء"</formula>
    </cfRule>
    <cfRule type="cellIs" dxfId="15" priority="6" operator="equal">
      <formula>"بيع"</formula>
    </cfRule>
  </conditionalFormatting>
  <dataValidations count="2">
    <dataValidation type="list" sqref="E3" xr:uid="{00000000-0002-0000-0300-000000000000}">
      <formula1>"1M,5M,15M,30M,1H,4H"</formula1>
      <formula2>0</formula2>
    </dataValidation>
    <dataValidation type="list" allowBlank="1" sqref="E8:J55" xr:uid="{00000000-0002-0000-0300-000001000000}">
      <formula1>"شراء,بيع,محايد"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"/>
  <sheetViews>
    <sheetView showGridLines="0" rightToLeft="1" zoomScaleNormal="100" workbookViewId="0">
      <pane xSplit="4" ySplit="7" topLeftCell="E58" activePane="bottomRight" state="frozen"/>
      <selection pane="topRight" activeCell="E1" sqref="E1"/>
      <selection pane="bottomLeft" activeCell="A8" sqref="A8"/>
      <selection pane="bottomRight" activeCell="C57" sqref="C57:C61"/>
    </sheetView>
  </sheetViews>
  <sheetFormatPr baseColWidth="10" defaultColWidth="8.6640625" defaultRowHeight="15"/>
  <cols>
    <col min="1" max="1" width="5" customWidth="1"/>
    <col min="2" max="2" width="35" customWidth="1"/>
    <col min="3" max="3" width="22" customWidth="1"/>
    <col min="4" max="4" width="55" customWidth="1"/>
    <col min="5" max="10" width="11" customWidth="1"/>
    <col min="11" max="11" width="24" customWidth="1"/>
    <col min="12" max="14" width="12" customWidth="1"/>
    <col min="15" max="15" width="14" customWidth="1"/>
    <col min="16" max="16" width="32" customWidth="1"/>
  </cols>
  <sheetData>
    <row r="1" spans="1:16" ht="49.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ht="25.5" customHeight="1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16" ht="27.75" customHeight="1">
      <c r="A3" s="89" t="s">
        <v>241</v>
      </c>
      <c r="B3" s="89"/>
      <c r="C3" s="89"/>
      <c r="D3" s="89"/>
      <c r="E3" s="5" t="s">
        <v>19</v>
      </c>
      <c r="F3" s="114" t="str">
        <f>IF($E$3="1M",E67,IF($E$3="5M",F67,IF($E$3="15M",G67,IF($E$3="30M",H67,IF($E$3="1H",I67,IF($E$3="4H",J67,""))))))</f>
        <v>محايد ⚪</v>
      </c>
      <c r="G3" s="114"/>
      <c r="H3" s="114"/>
      <c r="I3" s="115" t="str">
        <f>"ثقة: "&amp;TEXT(IF($E$3="1M",E68,IF($E$3="5M",F68,IF($E$3="15M",G68,IF($E$3="30M",H68,IF($E$3="1H",I68,IF($E$3="4H",J68,0)))))),"0.0%")</f>
        <v>ثقة: 0.0%</v>
      </c>
      <c r="J3" s="115"/>
      <c r="K3" s="115"/>
      <c r="L3" s="90" t="str">
        <f>"مساهمة الجدول: "&amp;TEXT(IF($E$3="1M",E66,IF($E$3="5M",F66,IF($E$3="15M",G66,IF($E$3="30M",H66,IF($E$3="1H",I66,IF($E$3="4H",J66,0)))))),"+0.000%;-0.000%;0%")&amp;" من 10%"</f>
        <v>مساهمة الجدول: 0% من 10%</v>
      </c>
      <c r="M3" s="90"/>
      <c r="N3" s="90"/>
      <c r="O3" s="90"/>
      <c r="P3" s="90"/>
    </row>
    <row r="4" spans="1:16" ht="30" customHeight="1">
      <c r="A4" s="86" t="s">
        <v>490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 ht="60" customHeight="1">
      <c r="A5" s="113" t="s">
        <v>243</v>
      </c>
      <c r="B5" s="113" t="s">
        <v>244</v>
      </c>
      <c r="C5" s="113" t="s">
        <v>245</v>
      </c>
      <c r="D5" s="113" t="s">
        <v>246</v>
      </c>
      <c r="E5" s="113" t="s">
        <v>247</v>
      </c>
      <c r="F5" s="113"/>
      <c r="G5" s="113"/>
      <c r="H5" s="113"/>
      <c r="I5" s="113"/>
      <c r="J5" s="113"/>
      <c r="K5" s="113"/>
      <c r="L5" s="113" t="s">
        <v>248</v>
      </c>
      <c r="M5" s="113" t="s">
        <v>491</v>
      </c>
      <c r="N5" s="113" t="s">
        <v>250</v>
      </c>
      <c r="O5" s="113" t="s">
        <v>251</v>
      </c>
      <c r="P5" s="113" t="s">
        <v>252</v>
      </c>
    </row>
    <row r="6" spans="1:16" ht="18" customHeight="1">
      <c r="A6" s="113"/>
      <c r="B6" s="113"/>
      <c r="C6" s="113"/>
      <c r="D6" s="113"/>
      <c r="L6" s="113"/>
      <c r="M6" s="113"/>
      <c r="N6" s="113"/>
      <c r="O6" s="113"/>
      <c r="P6" s="113"/>
    </row>
    <row r="7" spans="1:16" ht="36" customHeight="1">
      <c r="A7" s="113"/>
      <c r="B7" s="113"/>
      <c r="C7" s="113"/>
      <c r="D7" s="113"/>
      <c r="E7" s="24" t="s">
        <v>42</v>
      </c>
      <c r="F7" s="24" t="s">
        <v>43</v>
      </c>
      <c r="G7" s="24" t="s">
        <v>19</v>
      </c>
      <c r="H7" s="24" t="s">
        <v>44</v>
      </c>
      <c r="I7" s="24" t="s">
        <v>45</v>
      </c>
      <c r="J7" s="24" t="s">
        <v>46</v>
      </c>
      <c r="K7" s="24" t="s">
        <v>253</v>
      </c>
      <c r="L7" s="113"/>
      <c r="M7" s="113"/>
      <c r="N7" s="113"/>
      <c r="O7" s="113"/>
      <c r="P7" s="113"/>
    </row>
    <row r="8" spans="1:16" ht="99.75" customHeight="1">
      <c r="A8" s="25">
        <v>1</v>
      </c>
      <c r="B8" s="38" t="s">
        <v>492</v>
      </c>
      <c r="C8" s="100" t="s">
        <v>493</v>
      </c>
      <c r="D8" s="17" t="s">
        <v>494</v>
      </c>
      <c r="E8" s="18" t="s">
        <v>257</v>
      </c>
      <c r="F8" s="18" t="s">
        <v>257</v>
      </c>
      <c r="G8" s="18" t="s">
        <v>257</v>
      </c>
      <c r="H8" s="18" t="s">
        <v>257</v>
      </c>
      <c r="I8" s="18" t="s">
        <v>257</v>
      </c>
      <c r="J8" s="18" t="s">
        <v>257</v>
      </c>
      <c r="K8" s="16" t="str">
        <f t="shared" ref="K8:K39" si="0">(IF(E8="شراء",1,0)+IF(F8="شراء",1,0)+IF(G8="شراء",1,0)+IF(H8="شراء",1,0)+IF(I8="شراء",1,0)+IF(J8="شراء",1,0))&amp;" شراء  •  "&amp;(IF(E8="بيع",1,0)+IF(F8="بيع",1,0)+IF(G8="بيع",1,0)+IF(H8="بيع",1,0)+IF(I8="بيع",1,0)+IF(J8="بيع",1,0))&amp;" بيع  •  "&amp;(IF(E8="محايد",1,0)+IF(F8="محايد",1,0)+IF(G8="محايد",1,0)+IF(H8="محايد",1,0)+IF(I8="محايد",1,0)+IF(J8="محايد",1,0))&amp;" محايد"</f>
        <v>0 شراء  •  0 بيع  •  6 محايد</v>
      </c>
      <c r="L8" s="28">
        <f t="shared" ref="L8:L39" si="1">((IF(E8="شراء",1,IF(E8="بيع",-1,0))*5)+(IF(F8="شراء",1,IF(F8="بيع",-1,0))*10)+(IF(G8="شراء",1,IF(G8="بيع",-1,0))*20)+(IF(H8="شراء",1,IF(H8="بيع",-1,0))*18)+(IF(I8="شراء",1,IF(I8="بيع",-1,0))*22)+(IF(J8="شراء",1,IF(J8="بيع",-1,0))*25))/100</f>
        <v>0</v>
      </c>
      <c r="M8" s="29">
        <v>1.69491525423729E-3</v>
      </c>
      <c r="N8" s="30">
        <f t="shared" ref="N8:N39" si="2">ABS(L8)</f>
        <v>0</v>
      </c>
      <c r="O8" s="31" t="str">
        <f t="shared" ref="O8:O39" si="3">IF($E$3="1M",E8,IF($E$3="5M",F8,IF($E$3="15M",G8,IF($E$3="30M",H8,IF($E$3="1H",I8,IF($E$3="4H",J8,"محايد"))))))</f>
        <v>محايد</v>
      </c>
      <c r="P8" s="32" t="s">
        <v>495</v>
      </c>
    </row>
    <row r="9" spans="1:16" ht="99.75" customHeight="1">
      <c r="A9" s="25">
        <v>2</v>
      </c>
      <c r="B9" s="35" t="s">
        <v>496</v>
      </c>
      <c r="C9" s="101"/>
      <c r="D9" s="22" t="s">
        <v>497</v>
      </c>
      <c r="E9" s="18" t="s">
        <v>257</v>
      </c>
      <c r="F9" s="18" t="s">
        <v>257</v>
      </c>
      <c r="G9" s="18" t="s">
        <v>257</v>
      </c>
      <c r="H9" s="18" t="s">
        <v>257</v>
      </c>
      <c r="I9" s="18" t="s">
        <v>257</v>
      </c>
      <c r="J9" s="18" t="s">
        <v>257</v>
      </c>
      <c r="K9" s="21" t="str">
        <f t="shared" si="0"/>
        <v>0 شراء  •  0 بيع  •  6 محايد</v>
      </c>
      <c r="L9" s="33">
        <f t="shared" si="1"/>
        <v>0</v>
      </c>
      <c r="M9" s="29">
        <v>2.5423728813559299E-3</v>
      </c>
      <c r="N9" s="34">
        <f t="shared" si="2"/>
        <v>0</v>
      </c>
      <c r="O9" s="31" t="str">
        <f t="shared" si="3"/>
        <v>محايد</v>
      </c>
      <c r="P9" s="32" t="s">
        <v>498</v>
      </c>
    </row>
    <row r="10" spans="1:16" ht="99.75" customHeight="1">
      <c r="A10" s="25">
        <v>3</v>
      </c>
      <c r="B10" s="38" t="s">
        <v>499</v>
      </c>
      <c r="C10" s="101"/>
      <c r="D10" s="17" t="s">
        <v>500</v>
      </c>
      <c r="E10" s="18" t="s">
        <v>257</v>
      </c>
      <c r="F10" s="18" t="s">
        <v>257</v>
      </c>
      <c r="G10" s="18" t="s">
        <v>257</v>
      </c>
      <c r="H10" s="18" t="s">
        <v>257</v>
      </c>
      <c r="I10" s="18" t="s">
        <v>257</v>
      </c>
      <c r="J10" s="18" t="s">
        <v>257</v>
      </c>
      <c r="K10" s="16" t="str">
        <f t="shared" si="0"/>
        <v>0 شراء  •  0 بيع  •  6 محايد</v>
      </c>
      <c r="L10" s="28">
        <f t="shared" si="1"/>
        <v>0</v>
      </c>
      <c r="M10" s="29">
        <v>1.69491525423729E-3</v>
      </c>
      <c r="N10" s="30">
        <f t="shared" si="2"/>
        <v>0</v>
      </c>
      <c r="O10" s="31" t="str">
        <f t="shared" si="3"/>
        <v>محايد</v>
      </c>
      <c r="P10" s="32" t="s">
        <v>501</v>
      </c>
    </row>
    <row r="11" spans="1:16" ht="99.75" customHeight="1">
      <c r="A11" s="25">
        <v>4</v>
      </c>
      <c r="B11" s="38" t="s">
        <v>502</v>
      </c>
      <c r="C11" s="101"/>
      <c r="D11" s="22" t="s">
        <v>503</v>
      </c>
      <c r="E11" s="18" t="s">
        <v>257</v>
      </c>
      <c r="F11" s="18" t="s">
        <v>257</v>
      </c>
      <c r="G11" s="18" t="s">
        <v>257</v>
      </c>
      <c r="H11" s="18" t="s">
        <v>257</v>
      </c>
      <c r="I11" s="18" t="s">
        <v>257</v>
      </c>
      <c r="J11" s="18" t="s">
        <v>257</v>
      </c>
      <c r="K11" s="21" t="str">
        <f t="shared" si="0"/>
        <v>0 شراء  •  0 بيع  •  6 محايد</v>
      </c>
      <c r="L11" s="33">
        <f t="shared" si="1"/>
        <v>0</v>
      </c>
      <c r="M11" s="29">
        <v>1.69491525423729E-3</v>
      </c>
      <c r="N11" s="34">
        <f t="shared" si="2"/>
        <v>0</v>
      </c>
      <c r="O11" s="31" t="str">
        <f t="shared" si="3"/>
        <v>محايد</v>
      </c>
      <c r="P11" s="32" t="s">
        <v>504</v>
      </c>
    </row>
    <row r="12" spans="1:16" ht="99.75" customHeight="1">
      <c r="A12" s="25">
        <v>5</v>
      </c>
      <c r="B12" s="38" t="s">
        <v>505</v>
      </c>
      <c r="C12" s="101"/>
      <c r="D12" s="17" t="s">
        <v>506</v>
      </c>
      <c r="E12" s="18" t="s">
        <v>257</v>
      </c>
      <c r="F12" s="18" t="s">
        <v>257</v>
      </c>
      <c r="G12" s="18" t="s">
        <v>257</v>
      </c>
      <c r="H12" s="18" t="s">
        <v>257</v>
      </c>
      <c r="I12" s="18" t="s">
        <v>257</v>
      </c>
      <c r="J12" s="18" t="s">
        <v>257</v>
      </c>
      <c r="K12" s="16" t="str">
        <f t="shared" si="0"/>
        <v>0 شراء  •  0 بيع  •  6 محايد</v>
      </c>
      <c r="L12" s="28">
        <f t="shared" si="1"/>
        <v>0</v>
      </c>
      <c r="M12" s="29">
        <v>1.69491525423729E-3</v>
      </c>
      <c r="N12" s="30">
        <f t="shared" si="2"/>
        <v>0</v>
      </c>
      <c r="O12" s="31" t="str">
        <f t="shared" si="3"/>
        <v>محايد</v>
      </c>
      <c r="P12" s="32" t="s">
        <v>507</v>
      </c>
    </row>
    <row r="13" spans="1:16" ht="99.75" customHeight="1">
      <c r="A13" s="25">
        <v>6</v>
      </c>
      <c r="B13" s="38" t="s">
        <v>508</v>
      </c>
      <c r="C13" s="101"/>
      <c r="D13" s="22" t="s">
        <v>509</v>
      </c>
      <c r="E13" s="18" t="s">
        <v>257</v>
      </c>
      <c r="F13" s="18" t="s">
        <v>257</v>
      </c>
      <c r="G13" s="18" t="s">
        <v>257</v>
      </c>
      <c r="H13" s="18" t="s">
        <v>257</v>
      </c>
      <c r="I13" s="18" t="s">
        <v>257</v>
      </c>
      <c r="J13" s="18" t="s">
        <v>257</v>
      </c>
      <c r="K13" s="21" t="str">
        <f t="shared" si="0"/>
        <v>0 شراء  •  0 بيع  •  6 محايد</v>
      </c>
      <c r="L13" s="33">
        <f t="shared" si="1"/>
        <v>0</v>
      </c>
      <c r="M13" s="29">
        <v>1.69491525423729E-3</v>
      </c>
      <c r="N13" s="34">
        <f t="shared" si="2"/>
        <v>0</v>
      </c>
      <c r="O13" s="31" t="str">
        <f t="shared" si="3"/>
        <v>محايد</v>
      </c>
      <c r="P13" s="32" t="s">
        <v>510</v>
      </c>
    </row>
    <row r="14" spans="1:16" ht="99.75" customHeight="1">
      <c r="A14" s="25">
        <v>7</v>
      </c>
      <c r="B14" s="38" t="s">
        <v>511</v>
      </c>
      <c r="C14" s="101"/>
      <c r="D14" s="17" t="s">
        <v>512</v>
      </c>
      <c r="E14" s="18" t="s">
        <v>257</v>
      </c>
      <c r="F14" s="18" t="s">
        <v>257</v>
      </c>
      <c r="G14" s="18" t="s">
        <v>257</v>
      </c>
      <c r="H14" s="18" t="s">
        <v>257</v>
      </c>
      <c r="I14" s="18" t="s">
        <v>257</v>
      </c>
      <c r="J14" s="18" t="s">
        <v>257</v>
      </c>
      <c r="K14" s="16" t="str">
        <f t="shared" si="0"/>
        <v>0 شراء  •  0 بيع  •  6 محايد</v>
      </c>
      <c r="L14" s="28">
        <f t="shared" si="1"/>
        <v>0</v>
      </c>
      <c r="M14" s="29">
        <v>1.69491525423729E-3</v>
      </c>
      <c r="N14" s="30">
        <f t="shared" si="2"/>
        <v>0</v>
      </c>
      <c r="O14" s="31" t="str">
        <f t="shared" si="3"/>
        <v>محايد</v>
      </c>
      <c r="P14" s="32" t="s">
        <v>513</v>
      </c>
    </row>
    <row r="15" spans="1:16" ht="99.75" customHeight="1">
      <c r="A15" s="25">
        <v>8</v>
      </c>
      <c r="B15" s="38" t="s">
        <v>514</v>
      </c>
      <c r="C15" s="101"/>
      <c r="D15" s="22" t="s">
        <v>515</v>
      </c>
      <c r="E15" s="18" t="s">
        <v>257</v>
      </c>
      <c r="F15" s="18" t="s">
        <v>257</v>
      </c>
      <c r="G15" s="18" t="s">
        <v>257</v>
      </c>
      <c r="H15" s="18" t="s">
        <v>257</v>
      </c>
      <c r="I15" s="18" t="s">
        <v>257</v>
      </c>
      <c r="J15" s="18" t="s">
        <v>257</v>
      </c>
      <c r="K15" s="21" t="str">
        <f t="shared" si="0"/>
        <v>0 شراء  •  0 بيع  •  6 محايد</v>
      </c>
      <c r="L15" s="33">
        <f t="shared" si="1"/>
        <v>0</v>
      </c>
      <c r="M15" s="29">
        <v>1.69491525423729E-3</v>
      </c>
      <c r="N15" s="34">
        <f t="shared" si="2"/>
        <v>0</v>
      </c>
      <c r="O15" s="31" t="str">
        <f t="shared" si="3"/>
        <v>محايد</v>
      </c>
      <c r="P15" s="32" t="s">
        <v>516</v>
      </c>
    </row>
    <row r="16" spans="1:16" ht="99.75" customHeight="1">
      <c r="A16" s="25">
        <v>9</v>
      </c>
      <c r="B16" s="38" t="s">
        <v>517</v>
      </c>
      <c r="C16" s="101"/>
      <c r="D16" s="17" t="s">
        <v>518</v>
      </c>
      <c r="E16" s="18" t="s">
        <v>257</v>
      </c>
      <c r="F16" s="18" t="s">
        <v>257</v>
      </c>
      <c r="G16" s="18" t="s">
        <v>257</v>
      </c>
      <c r="H16" s="18" t="s">
        <v>257</v>
      </c>
      <c r="I16" s="18" t="s">
        <v>257</v>
      </c>
      <c r="J16" s="18" t="s">
        <v>257</v>
      </c>
      <c r="K16" s="16" t="str">
        <f t="shared" si="0"/>
        <v>0 شراء  •  0 بيع  •  6 محايد</v>
      </c>
      <c r="L16" s="28">
        <f t="shared" si="1"/>
        <v>0</v>
      </c>
      <c r="M16" s="29">
        <v>1.69491525423729E-3</v>
      </c>
      <c r="N16" s="30">
        <f t="shared" si="2"/>
        <v>0</v>
      </c>
      <c r="O16" s="31" t="str">
        <f t="shared" si="3"/>
        <v>محايد</v>
      </c>
      <c r="P16" s="32" t="s">
        <v>519</v>
      </c>
    </row>
    <row r="17" spans="1:16" ht="99.75" customHeight="1">
      <c r="A17" s="25">
        <v>10</v>
      </c>
      <c r="B17" s="38" t="s">
        <v>520</v>
      </c>
      <c r="C17" s="101"/>
      <c r="D17" s="22" t="s">
        <v>521</v>
      </c>
      <c r="E17" s="18" t="s">
        <v>257</v>
      </c>
      <c r="F17" s="18" t="s">
        <v>257</v>
      </c>
      <c r="G17" s="18" t="s">
        <v>257</v>
      </c>
      <c r="H17" s="18" t="s">
        <v>257</v>
      </c>
      <c r="I17" s="18" t="s">
        <v>257</v>
      </c>
      <c r="J17" s="18" t="s">
        <v>257</v>
      </c>
      <c r="K17" s="21" t="str">
        <f t="shared" si="0"/>
        <v>0 شراء  •  0 بيع  •  6 محايد</v>
      </c>
      <c r="L17" s="33">
        <f t="shared" si="1"/>
        <v>0</v>
      </c>
      <c r="M17" s="29">
        <v>1.69491525423729E-3</v>
      </c>
      <c r="N17" s="34">
        <f t="shared" si="2"/>
        <v>0</v>
      </c>
      <c r="O17" s="31" t="str">
        <f t="shared" si="3"/>
        <v>محايد</v>
      </c>
      <c r="P17" s="32" t="s">
        <v>522</v>
      </c>
    </row>
    <row r="18" spans="1:16" ht="99.75" customHeight="1">
      <c r="A18" s="25">
        <v>11</v>
      </c>
      <c r="B18" s="38" t="s">
        <v>523</v>
      </c>
      <c r="C18" s="102"/>
      <c r="D18" s="17" t="s">
        <v>524</v>
      </c>
      <c r="E18" s="18" t="s">
        <v>257</v>
      </c>
      <c r="F18" s="18" t="s">
        <v>257</v>
      </c>
      <c r="G18" s="18" t="s">
        <v>257</v>
      </c>
      <c r="H18" s="18" t="s">
        <v>257</v>
      </c>
      <c r="I18" s="18" t="s">
        <v>257</v>
      </c>
      <c r="J18" s="18" t="s">
        <v>257</v>
      </c>
      <c r="K18" s="16" t="str">
        <f t="shared" si="0"/>
        <v>0 شراء  •  0 بيع  •  6 محايد</v>
      </c>
      <c r="L18" s="28">
        <f t="shared" si="1"/>
        <v>0</v>
      </c>
      <c r="M18" s="29">
        <v>1.69491525423729E-3</v>
      </c>
      <c r="N18" s="30">
        <f t="shared" si="2"/>
        <v>0</v>
      </c>
      <c r="O18" s="31" t="str">
        <f t="shared" si="3"/>
        <v>محايد</v>
      </c>
      <c r="P18" s="32" t="s">
        <v>525</v>
      </c>
    </row>
    <row r="19" spans="1:16" ht="99.75" customHeight="1">
      <c r="A19" s="36">
        <v>12</v>
      </c>
      <c r="B19" s="26" t="s">
        <v>526</v>
      </c>
      <c r="C19" s="106" t="s">
        <v>527</v>
      </c>
      <c r="D19" s="22" t="s">
        <v>528</v>
      </c>
      <c r="E19" s="18" t="s">
        <v>257</v>
      </c>
      <c r="F19" s="18" t="s">
        <v>257</v>
      </c>
      <c r="G19" s="18" t="s">
        <v>257</v>
      </c>
      <c r="H19" s="18" t="s">
        <v>257</v>
      </c>
      <c r="I19" s="18" t="s">
        <v>257</v>
      </c>
      <c r="J19" s="18" t="s">
        <v>257</v>
      </c>
      <c r="K19" s="21" t="str">
        <f t="shared" si="0"/>
        <v>0 شراء  •  0 بيع  •  6 محايد</v>
      </c>
      <c r="L19" s="33">
        <f t="shared" si="1"/>
        <v>0</v>
      </c>
      <c r="M19" s="29">
        <v>3.3898305084745801E-3</v>
      </c>
      <c r="N19" s="34">
        <f t="shared" si="2"/>
        <v>0</v>
      </c>
      <c r="O19" s="31" t="str">
        <f t="shared" si="3"/>
        <v>محايد</v>
      </c>
      <c r="P19" s="32" t="s">
        <v>529</v>
      </c>
    </row>
    <row r="20" spans="1:16" ht="99.75" customHeight="1">
      <c r="A20" s="36">
        <v>13</v>
      </c>
      <c r="B20" s="35" t="s">
        <v>530</v>
      </c>
      <c r="C20" s="107"/>
      <c r="D20" s="17" t="s">
        <v>531</v>
      </c>
      <c r="E20" s="18" t="s">
        <v>257</v>
      </c>
      <c r="F20" s="18" t="s">
        <v>257</v>
      </c>
      <c r="G20" s="18" t="s">
        <v>257</v>
      </c>
      <c r="H20" s="18" t="s">
        <v>257</v>
      </c>
      <c r="I20" s="18" t="s">
        <v>257</v>
      </c>
      <c r="J20" s="18" t="s">
        <v>257</v>
      </c>
      <c r="K20" s="16" t="str">
        <f t="shared" si="0"/>
        <v>0 شراء  •  0 بيع  •  6 محايد</v>
      </c>
      <c r="L20" s="28">
        <f t="shared" si="1"/>
        <v>0</v>
      </c>
      <c r="M20" s="29">
        <v>2.5423728813559299E-3</v>
      </c>
      <c r="N20" s="30">
        <f t="shared" si="2"/>
        <v>0</v>
      </c>
      <c r="O20" s="31" t="str">
        <f t="shared" si="3"/>
        <v>محايد</v>
      </c>
      <c r="P20" s="32" t="s">
        <v>532</v>
      </c>
    </row>
    <row r="21" spans="1:16" ht="99.75" customHeight="1">
      <c r="A21" s="36">
        <v>14</v>
      </c>
      <c r="B21" s="38" t="s">
        <v>533</v>
      </c>
      <c r="C21" s="107"/>
      <c r="D21" s="22" t="s">
        <v>534</v>
      </c>
      <c r="E21" s="18" t="s">
        <v>257</v>
      </c>
      <c r="F21" s="18" t="s">
        <v>257</v>
      </c>
      <c r="G21" s="18" t="s">
        <v>257</v>
      </c>
      <c r="H21" s="18" t="s">
        <v>257</v>
      </c>
      <c r="I21" s="18" t="s">
        <v>257</v>
      </c>
      <c r="J21" s="18" t="s">
        <v>257</v>
      </c>
      <c r="K21" s="21" t="str">
        <f t="shared" si="0"/>
        <v>0 شراء  •  0 بيع  •  6 محايد</v>
      </c>
      <c r="L21" s="33">
        <f t="shared" si="1"/>
        <v>0</v>
      </c>
      <c r="M21" s="29">
        <v>1.69491525423729E-3</v>
      </c>
      <c r="N21" s="34">
        <f t="shared" si="2"/>
        <v>0</v>
      </c>
      <c r="O21" s="31" t="str">
        <f t="shared" si="3"/>
        <v>محايد</v>
      </c>
      <c r="P21" s="32" t="s">
        <v>535</v>
      </c>
    </row>
    <row r="22" spans="1:16" ht="99.75" customHeight="1">
      <c r="A22" s="36">
        <v>15</v>
      </c>
      <c r="B22" s="26" t="s">
        <v>536</v>
      </c>
      <c r="C22" s="107"/>
      <c r="D22" s="17" t="s">
        <v>537</v>
      </c>
      <c r="E22" s="18" t="s">
        <v>257</v>
      </c>
      <c r="F22" s="18" t="s">
        <v>257</v>
      </c>
      <c r="G22" s="18" t="s">
        <v>257</v>
      </c>
      <c r="H22" s="18" t="s">
        <v>257</v>
      </c>
      <c r="I22" s="18" t="s">
        <v>257</v>
      </c>
      <c r="J22" s="18" t="s">
        <v>257</v>
      </c>
      <c r="K22" s="16" t="str">
        <f t="shared" si="0"/>
        <v>0 شراء  •  0 بيع  •  6 محايد</v>
      </c>
      <c r="L22" s="28">
        <f t="shared" si="1"/>
        <v>0</v>
      </c>
      <c r="M22" s="29">
        <v>3.3898305084745801E-3</v>
      </c>
      <c r="N22" s="30">
        <f t="shared" si="2"/>
        <v>0</v>
      </c>
      <c r="O22" s="31" t="str">
        <f t="shared" si="3"/>
        <v>محايد</v>
      </c>
      <c r="P22" s="32" t="s">
        <v>538</v>
      </c>
    </row>
    <row r="23" spans="1:16" ht="99.75" customHeight="1">
      <c r="A23" s="36">
        <v>16</v>
      </c>
      <c r="B23" s="38" t="s">
        <v>539</v>
      </c>
      <c r="C23" s="107"/>
      <c r="D23" s="22" t="s">
        <v>540</v>
      </c>
      <c r="E23" s="18" t="s">
        <v>257</v>
      </c>
      <c r="F23" s="18" t="s">
        <v>257</v>
      </c>
      <c r="G23" s="18" t="s">
        <v>257</v>
      </c>
      <c r="H23" s="18" t="s">
        <v>257</v>
      </c>
      <c r="I23" s="18" t="s">
        <v>257</v>
      </c>
      <c r="J23" s="18" t="s">
        <v>257</v>
      </c>
      <c r="K23" s="21" t="str">
        <f t="shared" si="0"/>
        <v>0 شراء  •  0 بيع  •  6 محايد</v>
      </c>
      <c r="L23" s="33">
        <f t="shared" si="1"/>
        <v>0</v>
      </c>
      <c r="M23" s="29">
        <v>1.69491525423729E-3</v>
      </c>
      <c r="N23" s="34">
        <f t="shared" si="2"/>
        <v>0</v>
      </c>
      <c r="O23" s="31" t="str">
        <f t="shared" si="3"/>
        <v>محايد</v>
      </c>
      <c r="P23" s="32" t="s">
        <v>535</v>
      </c>
    </row>
    <row r="24" spans="1:16" ht="99.75" customHeight="1">
      <c r="A24" s="36">
        <v>17</v>
      </c>
      <c r="B24" s="38" t="s">
        <v>541</v>
      </c>
      <c r="C24" s="107"/>
      <c r="D24" s="17" t="s">
        <v>542</v>
      </c>
      <c r="E24" s="18" t="s">
        <v>257</v>
      </c>
      <c r="F24" s="18" t="s">
        <v>257</v>
      </c>
      <c r="G24" s="18" t="s">
        <v>257</v>
      </c>
      <c r="H24" s="18" t="s">
        <v>257</v>
      </c>
      <c r="I24" s="18" t="s">
        <v>257</v>
      </c>
      <c r="J24" s="18" t="s">
        <v>257</v>
      </c>
      <c r="K24" s="16" t="str">
        <f t="shared" si="0"/>
        <v>0 شراء  •  0 بيع  •  6 محايد</v>
      </c>
      <c r="L24" s="28">
        <f t="shared" si="1"/>
        <v>0</v>
      </c>
      <c r="M24" s="29">
        <v>1.69491525423729E-3</v>
      </c>
      <c r="N24" s="30">
        <f t="shared" si="2"/>
        <v>0</v>
      </c>
      <c r="O24" s="31" t="str">
        <f t="shared" si="3"/>
        <v>محايد</v>
      </c>
      <c r="P24" s="32" t="s">
        <v>535</v>
      </c>
    </row>
    <row r="25" spans="1:16" ht="99.75" customHeight="1">
      <c r="A25" s="36">
        <v>18</v>
      </c>
      <c r="B25" s="38" t="s">
        <v>543</v>
      </c>
      <c r="C25" s="107"/>
      <c r="D25" s="22" t="s">
        <v>544</v>
      </c>
      <c r="E25" s="18" t="s">
        <v>257</v>
      </c>
      <c r="F25" s="18" t="s">
        <v>257</v>
      </c>
      <c r="G25" s="18" t="s">
        <v>257</v>
      </c>
      <c r="H25" s="18" t="s">
        <v>257</v>
      </c>
      <c r="I25" s="18" t="s">
        <v>257</v>
      </c>
      <c r="J25" s="18" t="s">
        <v>257</v>
      </c>
      <c r="K25" s="21" t="str">
        <f t="shared" si="0"/>
        <v>0 شراء  •  0 بيع  •  6 محايد</v>
      </c>
      <c r="L25" s="33">
        <f t="shared" si="1"/>
        <v>0</v>
      </c>
      <c r="M25" s="29">
        <v>1.69491525423729E-3</v>
      </c>
      <c r="N25" s="34">
        <f t="shared" si="2"/>
        <v>0</v>
      </c>
      <c r="O25" s="31" t="str">
        <f t="shared" si="3"/>
        <v>محايد</v>
      </c>
      <c r="P25" s="32" t="s">
        <v>535</v>
      </c>
    </row>
    <row r="26" spans="1:16" ht="99.75" customHeight="1">
      <c r="A26" s="36">
        <v>19</v>
      </c>
      <c r="B26" s="38" t="s">
        <v>545</v>
      </c>
      <c r="C26" s="107"/>
      <c r="D26" s="17" t="s">
        <v>546</v>
      </c>
      <c r="E26" s="18" t="s">
        <v>257</v>
      </c>
      <c r="F26" s="18" t="s">
        <v>257</v>
      </c>
      <c r="G26" s="18" t="s">
        <v>257</v>
      </c>
      <c r="H26" s="18" t="s">
        <v>257</v>
      </c>
      <c r="I26" s="18" t="s">
        <v>257</v>
      </c>
      <c r="J26" s="18" t="s">
        <v>257</v>
      </c>
      <c r="K26" s="16" t="str">
        <f t="shared" si="0"/>
        <v>0 شراء  •  0 بيع  •  6 محايد</v>
      </c>
      <c r="L26" s="28">
        <f t="shared" si="1"/>
        <v>0</v>
      </c>
      <c r="M26" s="29">
        <v>1.69491525423729E-3</v>
      </c>
      <c r="N26" s="30">
        <f t="shared" si="2"/>
        <v>0</v>
      </c>
      <c r="O26" s="31" t="str">
        <f t="shared" si="3"/>
        <v>محايد</v>
      </c>
      <c r="P26" s="32" t="s">
        <v>535</v>
      </c>
    </row>
    <row r="27" spans="1:16" ht="99.75" customHeight="1">
      <c r="A27" s="36">
        <v>20</v>
      </c>
      <c r="B27" s="38" t="s">
        <v>547</v>
      </c>
      <c r="C27" s="107"/>
      <c r="D27" s="22" t="s">
        <v>548</v>
      </c>
      <c r="E27" s="18" t="s">
        <v>257</v>
      </c>
      <c r="F27" s="18" t="s">
        <v>257</v>
      </c>
      <c r="G27" s="18" t="s">
        <v>257</v>
      </c>
      <c r="H27" s="18" t="s">
        <v>257</v>
      </c>
      <c r="I27" s="18" t="s">
        <v>257</v>
      </c>
      <c r="J27" s="18" t="s">
        <v>257</v>
      </c>
      <c r="K27" s="21" t="str">
        <f t="shared" si="0"/>
        <v>0 شراء  •  0 بيع  •  6 محايد</v>
      </c>
      <c r="L27" s="33">
        <f t="shared" si="1"/>
        <v>0</v>
      </c>
      <c r="M27" s="29">
        <v>1.69491525423729E-3</v>
      </c>
      <c r="N27" s="34">
        <f t="shared" si="2"/>
        <v>0</v>
      </c>
      <c r="O27" s="31" t="str">
        <f t="shared" si="3"/>
        <v>محايد</v>
      </c>
      <c r="P27" s="32" t="s">
        <v>549</v>
      </c>
    </row>
    <row r="28" spans="1:16" ht="99.75" customHeight="1">
      <c r="A28" s="36">
        <v>21</v>
      </c>
      <c r="B28" s="38" t="s">
        <v>550</v>
      </c>
      <c r="C28" s="107"/>
      <c r="D28" s="17" t="s">
        <v>551</v>
      </c>
      <c r="E28" s="18" t="s">
        <v>257</v>
      </c>
      <c r="F28" s="18" t="s">
        <v>257</v>
      </c>
      <c r="G28" s="18" t="s">
        <v>257</v>
      </c>
      <c r="H28" s="18" t="s">
        <v>257</v>
      </c>
      <c r="I28" s="18" t="s">
        <v>257</v>
      </c>
      <c r="J28" s="18" t="s">
        <v>257</v>
      </c>
      <c r="K28" s="16" t="str">
        <f t="shared" si="0"/>
        <v>0 شراء  •  0 بيع  •  6 محايد</v>
      </c>
      <c r="L28" s="28">
        <f t="shared" si="1"/>
        <v>0</v>
      </c>
      <c r="M28" s="29">
        <v>1.69491525423729E-3</v>
      </c>
      <c r="N28" s="30">
        <f t="shared" si="2"/>
        <v>0</v>
      </c>
      <c r="O28" s="31" t="str">
        <f t="shared" si="3"/>
        <v>محايد</v>
      </c>
      <c r="P28" s="32" t="s">
        <v>535</v>
      </c>
    </row>
    <row r="29" spans="1:16" ht="99.75" customHeight="1">
      <c r="A29" s="36">
        <v>22</v>
      </c>
      <c r="B29" s="38" t="s">
        <v>552</v>
      </c>
      <c r="C29" s="107"/>
      <c r="D29" s="22" t="s">
        <v>553</v>
      </c>
      <c r="E29" s="18" t="s">
        <v>257</v>
      </c>
      <c r="F29" s="18" t="s">
        <v>257</v>
      </c>
      <c r="G29" s="18" t="s">
        <v>257</v>
      </c>
      <c r="H29" s="18" t="s">
        <v>257</v>
      </c>
      <c r="I29" s="18" t="s">
        <v>257</v>
      </c>
      <c r="J29" s="18" t="s">
        <v>257</v>
      </c>
      <c r="K29" s="21" t="str">
        <f t="shared" si="0"/>
        <v>0 شراء  •  0 بيع  •  6 محايد</v>
      </c>
      <c r="L29" s="33">
        <f t="shared" si="1"/>
        <v>0</v>
      </c>
      <c r="M29" s="29">
        <v>1.69491525423729E-3</v>
      </c>
      <c r="N29" s="34">
        <f t="shared" si="2"/>
        <v>0</v>
      </c>
      <c r="O29" s="31" t="str">
        <f t="shared" si="3"/>
        <v>محايد</v>
      </c>
      <c r="P29" s="32" t="s">
        <v>535</v>
      </c>
    </row>
    <row r="30" spans="1:16" ht="99.75" customHeight="1">
      <c r="A30" s="36">
        <v>23</v>
      </c>
      <c r="B30" s="38" t="s">
        <v>554</v>
      </c>
      <c r="C30" s="107"/>
      <c r="D30" s="17" t="s">
        <v>555</v>
      </c>
      <c r="E30" s="18" t="s">
        <v>257</v>
      </c>
      <c r="F30" s="18" t="s">
        <v>257</v>
      </c>
      <c r="G30" s="18" t="s">
        <v>257</v>
      </c>
      <c r="H30" s="18" t="s">
        <v>257</v>
      </c>
      <c r="I30" s="18" t="s">
        <v>257</v>
      </c>
      <c r="J30" s="18" t="s">
        <v>257</v>
      </c>
      <c r="K30" s="16" t="str">
        <f t="shared" si="0"/>
        <v>0 شراء  •  0 بيع  •  6 محايد</v>
      </c>
      <c r="L30" s="28">
        <f t="shared" si="1"/>
        <v>0</v>
      </c>
      <c r="M30" s="29">
        <v>1.69491525423729E-3</v>
      </c>
      <c r="N30" s="30">
        <f t="shared" si="2"/>
        <v>0</v>
      </c>
      <c r="O30" s="31" t="str">
        <f t="shared" si="3"/>
        <v>محايد</v>
      </c>
      <c r="P30" s="32" t="s">
        <v>535</v>
      </c>
    </row>
    <row r="31" spans="1:16" ht="99.75" customHeight="1">
      <c r="A31" s="36">
        <v>24</v>
      </c>
      <c r="B31" s="38" t="s">
        <v>556</v>
      </c>
      <c r="C31" s="107"/>
      <c r="D31" s="22" t="s">
        <v>557</v>
      </c>
      <c r="E31" s="18" t="s">
        <v>257</v>
      </c>
      <c r="F31" s="18" t="s">
        <v>257</v>
      </c>
      <c r="G31" s="18" t="s">
        <v>257</v>
      </c>
      <c r="H31" s="18" t="s">
        <v>257</v>
      </c>
      <c r="I31" s="18" t="s">
        <v>257</v>
      </c>
      <c r="J31" s="18" t="s">
        <v>257</v>
      </c>
      <c r="K31" s="21" t="str">
        <f t="shared" si="0"/>
        <v>0 شراء  •  0 بيع  •  6 محايد</v>
      </c>
      <c r="L31" s="33">
        <f t="shared" si="1"/>
        <v>0</v>
      </c>
      <c r="M31" s="29">
        <v>1.69491525423729E-3</v>
      </c>
      <c r="N31" s="34">
        <f t="shared" si="2"/>
        <v>0</v>
      </c>
      <c r="O31" s="31" t="str">
        <f t="shared" si="3"/>
        <v>محايد</v>
      </c>
      <c r="P31" s="32" t="s">
        <v>535</v>
      </c>
    </row>
    <row r="32" spans="1:16" ht="99.75" customHeight="1">
      <c r="A32" s="36">
        <v>25</v>
      </c>
      <c r="B32" s="49" t="s">
        <v>558</v>
      </c>
      <c r="C32" s="107"/>
      <c r="D32" s="17" t="s">
        <v>559</v>
      </c>
      <c r="E32" s="18" t="s">
        <v>257</v>
      </c>
      <c r="F32" s="18" t="s">
        <v>257</v>
      </c>
      <c r="G32" s="18" t="s">
        <v>257</v>
      </c>
      <c r="H32" s="18" t="s">
        <v>257</v>
      </c>
      <c r="I32" s="18" t="s">
        <v>257</v>
      </c>
      <c r="J32" s="18" t="s">
        <v>257</v>
      </c>
      <c r="K32" s="16" t="str">
        <f t="shared" si="0"/>
        <v>0 شراء  •  0 بيع  •  6 محايد</v>
      </c>
      <c r="L32" s="28">
        <f t="shared" si="1"/>
        <v>0</v>
      </c>
      <c r="M32" s="29">
        <v>8.4745762711864404E-4</v>
      </c>
      <c r="N32" s="30">
        <f t="shared" si="2"/>
        <v>0</v>
      </c>
      <c r="O32" s="31" t="str">
        <f t="shared" si="3"/>
        <v>محايد</v>
      </c>
      <c r="P32" s="32" t="s">
        <v>535</v>
      </c>
    </row>
    <row r="33" spans="1:16" ht="99.75" customHeight="1">
      <c r="A33" s="36">
        <v>26</v>
      </c>
      <c r="B33" s="38" t="s">
        <v>560</v>
      </c>
      <c r="C33" s="108"/>
      <c r="D33" s="22" t="s">
        <v>561</v>
      </c>
      <c r="E33" s="18" t="s">
        <v>257</v>
      </c>
      <c r="F33" s="18" t="s">
        <v>257</v>
      </c>
      <c r="G33" s="18" t="s">
        <v>257</v>
      </c>
      <c r="H33" s="18" t="s">
        <v>257</v>
      </c>
      <c r="I33" s="18" t="s">
        <v>257</v>
      </c>
      <c r="J33" s="18" t="s">
        <v>257</v>
      </c>
      <c r="K33" s="21" t="str">
        <f t="shared" si="0"/>
        <v>0 شراء  •  0 بيع  •  6 محايد</v>
      </c>
      <c r="L33" s="33">
        <f t="shared" si="1"/>
        <v>0</v>
      </c>
      <c r="M33" s="29">
        <v>1.69491525423729E-3</v>
      </c>
      <c r="N33" s="34">
        <f t="shared" si="2"/>
        <v>0</v>
      </c>
      <c r="O33" s="31" t="str">
        <f t="shared" si="3"/>
        <v>محايد</v>
      </c>
      <c r="P33" s="32" t="s">
        <v>535</v>
      </c>
    </row>
    <row r="34" spans="1:16" ht="99.75" customHeight="1">
      <c r="A34" s="39">
        <v>27</v>
      </c>
      <c r="B34" s="26" t="s">
        <v>562</v>
      </c>
      <c r="C34" s="116" t="s">
        <v>563</v>
      </c>
      <c r="D34" s="17" t="s">
        <v>564</v>
      </c>
      <c r="E34" s="18" t="s">
        <v>257</v>
      </c>
      <c r="F34" s="18" t="s">
        <v>257</v>
      </c>
      <c r="G34" s="18" t="s">
        <v>257</v>
      </c>
      <c r="H34" s="18" t="s">
        <v>257</v>
      </c>
      <c r="I34" s="18" t="s">
        <v>257</v>
      </c>
      <c r="J34" s="18" t="s">
        <v>257</v>
      </c>
      <c r="K34" s="16" t="str">
        <f t="shared" si="0"/>
        <v>0 شراء  •  0 بيع  •  6 محايد</v>
      </c>
      <c r="L34" s="28">
        <f t="shared" si="1"/>
        <v>0</v>
      </c>
      <c r="M34" s="29">
        <v>3.3898305084745801E-3</v>
      </c>
      <c r="N34" s="30">
        <f t="shared" si="2"/>
        <v>0</v>
      </c>
      <c r="O34" s="31" t="str">
        <f t="shared" si="3"/>
        <v>محايد</v>
      </c>
      <c r="P34" s="32" t="s">
        <v>565</v>
      </c>
    </row>
    <row r="35" spans="1:16" ht="99.75" customHeight="1">
      <c r="A35" s="39">
        <v>28</v>
      </c>
      <c r="B35" s="35" t="s">
        <v>566</v>
      </c>
      <c r="C35" s="117"/>
      <c r="D35" s="22" t="s">
        <v>567</v>
      </c>
      <c r="E35" s="18" t="s">
        <v>257</v>
      </c>
      <c r="F35" s="18" t="s">
        <v>257</v>
      </c>
      <c r="G35" s="18" t="s">
        <v>257</v>
      </c>
      <c r="H35" s="18" t="s">
        <v>257</v>
      </c>
      <c r="I35" s="18" t="s">
        <v>257</v>
      </c>
      <c r="J35" s="18" t="s">
        <v>257</v>
      </c>
      <c r="K35" s="21" t="str">
        <f t="shared" si="0"/>
        <v>0 شراء  •  0 بيع  •  6 محايد</v>
      </c>
      <c r="L35" s="33">
        <f t="shared" si="1"/>
        <v>0</v>
      </c>
      <c r="M35" s="29">
        <v>2.5423728813559299E-3</v>
      </c>
      <c r="N35" s="34">
        <f t="shared" si="2"/>
        <v>0</v>
      </c>
      <c r="O35" s="31" t="str">
        <f t="shared" si="3"/>
        <v>محايد</v>
      </c>
      <c r="P35" s="32" t="s">
        <v>535</v>
      </c>
    </row>
    <row r="36" spans="1:16" ht="99.75" customHeight="1">
      <c r="A36" s="39">
        <v>29</v>
      </c>
      <c r="B36" s="38" t="s">
        <v>568</v>
      </c>
      <c r="C36" s="117"/>
      <c r="D36" s="17" t="s">
        <v>569</v>
      </c>
      <c r="E36" s="18" t="s">
        <v>257</v>
      </c>
      <c r="F36" s="18" t="s">
        <v>257</v>
      </c>
      <c r="G36" s="18" t="s">
        <v>257</v>
      </c>
      <c r="H36" s="18" t="s">
        <v>257</v>
      </c>
      <c r="I36" s="18" t="s">
        <v>257</v>
      </c>
      <c r="J36" s="18" t="s">
        <v>257</v>
      </c>
      <c r="K36" s="16" t="str">
        <f t="shared" si="0"/>
        <v>0 شراء  •  0 بيع  •  6 محايد</v>
      </c>
      <c r="L36" s="28">
        <f t="shared" si="1"/>
        <v>0</v>
      </c>
      <c r="M36" s="29">
        <v>1.69491525423729E-3</v>
      </c>
      <c r="N36" s="30">
        <f t="shared" si="2"/>
        <v>0</v>
      </c>
      <c r="O36" s="31" t="str">
        <f t="shared" si="3"/>
        <v>محايد</v>
      </c>
      <c r="P36" s="32" t="s">
        <v>570</v>
      </c>
    </row>
    <row r="37" spans="1:16" ht="99.75" customHeight="1">
      <c r="A37" s="39">
        <v>30</v>
      </c>
      <c r="B37" s="38" t="s">
        <v>571</v>
      </c>
      <c r="C37" s="117"/>
      <c r="D37" s="22" t="s">
        <v>572</v>
      </c>
      <c r="E37" s="18" t="s">
        <v>257</v>
      </c>
      <c r="F37" s="18" t="s">
        <v>257</v>
      </c>
      <c r="G37" s="18" t="s">
        <v>257</v>
      </c>
      <c r="H37" s="18" t="s">
        <v>257</v>
      </c>
      <c r="I37" s="18" t="s">
        <v>257</v>
      </c>
      <c r="J37" s="18" t="s">
        <v>257</v>
      </c>
      <c r="K37" s="21" t="str">
        <f t="shared" si="0"/>
        <v>0 شراء  •  0 بيع  •  6 محايد</v>
      </c>
      <c r="L37" s="33">
        <f t="shared" si="1"/>
        <v>0</v>
      </c>
      <c r="M37" s="29">
        <v>1.69491525423729E-3</v>
      </c>
      <c r="N37" s="34">
        <f t="shared" si="2"/>
        <v>0</v>
      </c>
      <c r="O37" s="31" t="str">
        <f t="shared" si="3"/>
        <v>محايد</v>
      </c>
      <c r="P37" s="32" t="s">
        <v>570</v>
      </c>
    </row>
    <row r="38" spans="1:16" ht="99.75" customHeight="1">
      <c r="A38" s="39">
        <v>31</v>
      </c>
      <c r="B38" s="38" t="s">
        <v>573</v>
      </c>
      <c r="C38" s="117"/>
      <c r="D38" s="17" t="s">
        <v>574</v>
      </c>
      <c r="E38" s="18" t="s">
        <v>257</v>
      </c>
      <c r="F38" s="18" t="s">
        <v>257</v>
      </c>
      <c r="G38" s="18" t="s">
        <v>257</v>
      </c>
      <c r="H38" s="18" t="s">
        <v>257</v>
      </c>
      <c r="I38" s="18" t="s">
        <v>257</v>
      </c>
      <c r="J38" s="18" t="s">
        <v>257</v>
      </c>
      <c r="K38" s="16" t="str">
        <f t="shared" si="0"/>
        <v>0 شراء  •  0 بيع  •  6 محايد</v>
      </c>
      <c r="L38" s="28">
        <f t="shared" si="1"/>
        <v>0</v>
      </c>
      <c r="M38" s="29">
        <v>1.69491525423729E-3</v>
      </c>
      <c r="N38" s="30">
        <f t="shared" si="2"/>
        <v>0</v>
      </c>
      <c r="O38" s="31" t="str">
        <f t="shared" si="3"/>
        <v>محايد</v>
      </c>
      <c r="P38" s="32" t="s">
        <v>535</v>
      </c>
    </row>
    <row r="39" spans="1:16" ht="99.75" customHeight="1">
      <c r="A39" s="39">
        <v>32</v>
      </c>
      <c r="B39" s="35" t="s">
        <v>575</v>
      </c>
      <c r="C39" s="117"/>
      <c r="D39" s="22" t="s">
        <v>576</v>
      </c>
      <c r="E39" s="18" t="s">
        <v>257</v>
      </c>
      <c r="F39" s="18" t="s">
        <v>257</v>
      </c>
      <c r="G39" s="18" t="s">
        <v>257</v>
      </c>
      <c r="H39" s="18" t="s">
        <v>257</v>
      </c>
      <c r="I39" s="18" t="s">
        <v>257</v>
      </c>
      <c r="J39" s="18" t="s">
        <v>257</v>
      </c>
      <c r="K39" s="21" t="str">
        <f t="shared" si="0"/>
        <v>0 شراء  •  0 بيع  •  6 محايد</v>
      </c>
      <c r="L39" s="33">
        <f t="shared" si="1"/>
        <v>0</v>
      </c>
      <c r="M39" s="29">
        <v>2.5423728813559299E-3</v>
      </c>
      <c r="N39" s="34">
        <f t="shared" si="2"/>
        <v>0</v>
      </c>
      <c r="O39" s="31" t="str">
        <f t="shared" si="3"/>
        <v>محايد</v>
      </c>
      <c r="P39" s="32" t="s">
        <v>535</v>
      </c>
    </row>
    <row r="40" spans="1:16" ht="99.75" customHeight="1">
      <c r="A40" s="39">
        <v>33</v>
      </c>
      <c r="B40" s="49" t="s">
        <v>577</v>
      </c>
      <c r="C40" s="117"/>
      <c r="D40" s="17" t="s">
        <v>578</v>
      </c>
      <c r="E40" s="18" t="s">
        <v>257</v>
      </c>
      <c r="F40" s="18" t="s">
        <v>257</v>
      </c>
      <c r="G40" s="18" t="s">
        <v>257</v>
      </c>
      <c r="H40" s="18" t="s">
        <v>257</v>
      </c>
      <c r="I40" s="18" t="s">
        <v>257</v>
      </c>
      <c r="J40" s="18" t="s">
        <v>257</v>
      </c>
      <c r="K40" s="16" t="str">
        <f t="shared" ref="K40:K61" si="4">(IF(E40="شراء",1,0)+IF(F40="شراء",1,0)+IF(G40="شراء",1,0)+IF(H40="شراء",1,0)+IF(I40="شراء",1,0)+IF(J40="شراء",1,0))&amp;" شراء  •  "&amp;(IF(E40="بيع",1,0)+IF(F40="بيع",1,0)+IF(G40="بيع",1,0)+IF(H40="بيع",1,0)+IF(I40="بيع",1,0)+IF(J40="بيع",1,0))&amp;" بيع  •  "&amp;(IF(E40="محايد",1,0)+IF(F40="محايد",1,0)+IF(G40="محايد",1,0)+IF(H40="محايد",1,0)+IF(I40="محايد",1,0)+IF(J40="محايد",1,0))&amp;" محايد"</f>
        <v>0 شراء  •  0 بيع  •  6 محايد</v>
      </c>
      <c r="L40" s="28">
        <f t="shared" ref="L40:L61" si="5">((IF(E40="شراء",1,IF(E40="بيع",-1,0))*5)+(IF(F40="شراء",1,IF(F40="بيع",-1,0))*10)+(IF(G40="شراء",1,IF(G40="بيع",-1,0))*20)+(IF(H40="شراء",1,IF(H40="بيع",-1,0))*18)+(IF(I40="شراء",1,IF(I40="بيع",-1,0))*22)+(IF(J40="شراء",1,IF(J40="بيع",-1,0))*25))/100</f>
        <v>0</v>
      </c>
      <c r="M40" s="29">
        <v>8.4745762711864404E-4</v>
      </c>
      <c r="N40" s="30">
        <f t="shared" ref="N40:N61" si="6">ABS(L40)</f>
        <v>0</v>
      </c>
      <c r="O40" s="31" t="str">
        <f t="shared" ref="O40:O61" si="7">IF($E$3="1M",E40,IF($E$3="5M",F40,IF($E$3="15M",G40,IF($E$3="30M",H40,IF($E$3="1H",I40,IF($E$3="4H",J40,"محايد"))))))</f>
        <v>محايد</v>
      </c>
      <c r="P40" s="32" t="s">
        <v>535</v>
      </c>
    </row>
    <row r="41" spans="1:16" ht="99.75" customHeight="1">
      <c r="A41" s="39">
        <v>34</v>
      </c>
      <c r="B41" s="49" t="s">
        <v>579</v>
      </c>
      <c r="C41" s="117"/>
      <c r="D41" s="22" t="s">
        <v>580</v>
      </c>
      <c r="E41" s="18" t="s">
        <v>257</v>
      </c>
      <c r="F41" s="18" t="s">
        <v>257</v>
      </c>
      <c r="G41" s="18" t="s">
        <v>257</v>
      </c>
      <c r="H41" s="18" t="s">
        <v>257</v>
      </c>
      <c r="I41" s="18" t="s">
        <v>257</v>
      </c>
      <c r="J41" s="18" t="s">
        <v>257</v>
      </c>
      <c r="K41" s="21" t="str">
        <f t="shared" si="4"/>
        <v>0 شراء  •  0 بيع  •  6 محايد</v>
      </c>
      <c r="L41" s="33">
        <f t="shared" si="5"/>
        <v>0</v>
      </c>
      <c r="M41" s="29">
        <v>8.4745762711864404E-4</v>
      </c>
      <c r="N41" s="34">
        <f t="shared" si="6"/>
        <v>0</v>
      </c>
      <c r="O41" s="31" t="str">
        <f t="shared" si="7"/>
        <v>محايد</v>
      </c>
      <c r="P41" s="32" t="s">
        <v>535</v>
      </c>
    </row>
    <row r="42" spans="1:16" ht="99.75" customHeight="1">
      <c r="A42" s="39">
        <v>35</v>
      </c>
      <c r="B42" s="49" t="s">
        <v>581</v>
      </c>
      <c r="C42" s="118"/>
      <c r="D42" s="17" t="s">
        <v>582</v>
      </c>
      <c r="E42" s="18" t="s">
        <v>257</v>
      </c>
      <c r="F42" s="18" t="s">
        <v>257</v>
      </c>
      <c r="G42" s="18" t="s">
        <v>257</v>
      </c>
      <c r="H42" s="18" t="s">
        <v>257</v>
      </c>
      <c r="I42" s="18" t="s">
        <v>257</v>
      </c>
      <c r="J42" s="18" t="s">
        <v>257</v>
      </c>
      <c r="K42" s="16" t="str">
        <f t="shared" si="4"/>
        <v>0 شراء  •  0 بيع  •  6 محايد</v>
      </c>
      <c r="L42" s="28">
        <f t="shared" si="5"/>
        <v>0</v>
      </c>
      <c r="M42" s="29">
        <v>8.4745762711864404E-4</v>
      </c>
      <c r="N42" s="30">
        <f t="shared" si="6"/>
        <v>0</v>
      </c>
      <c r="O42" s="31" t="str">
        <f t="shared" si="7"/>
        <v>محايد</v>
      </c>
      <c r="P42" s="32" t="s">
        <v>535</v>
      </c>
    </row>
    <row r="43" spans="1:16" ht="99.75" customHeight="1">
      <c r="A43" s="40">
        <v>36</v>
      </c>
      <c r="B43" s="35" t="s">
        <v>583</v>
      </c>
      <c r="C43" s="103" t="s">
        <v>584</v>
      </c>
      <c r="D43" s="22" t="s">
        <v>585</v>
      </c>
      <c r="E43" s="18" t="s">
        <v>257</v>
      </c>
      <c r="F43" s="18" t="s">
        <v>257</v>
      </c>
      <c r="G43" s="18" t="s">
        <v>257</v>
      </c>
      <c r="H43" s="18" t="s">
        <v>257</v>
      </c>
      <c r="I43" s="18" t="s">
        <v>257</v>
      </c>
      <c r="J43" s="18" t="s">
        <v>257</v>
      </c>
      <c r="K43" s="21" t="str">
        <f t="shared" si="4"/>
        <v>0 شراء  •  0 بيع  •  6 محايد</v>
      </c>
      <c r="L43" s="33">
        <f t="shared" si="5"/>
        <v>0</v>
      </c>
      <c r="M43" s="29">
        <v>2.5423728813559299E-3</v>
      </c>
      <c r="N43" s="34">
        <f t="shared" si="6"/>
        <v>0</v>
      </c>
      <c r="O43" s="31" t="str">
        <f t="shared" si="7"/>
        <v>محايد</v>
      </c>
      <c r="P43" s="32" t="s">
        <v>535</v>
      </c>
    </row>
    <row r="44" spans="1:16" ht="99.75" customHeight="1">
      <c r="A44" s="40">
        <v>37</v>
      </c>
      <c r="B44" s="35" t="s">
        <v>586</v>
      </c>
      <c r="C44" s="104"/>
      <c r="D44" s="17" t="s">
        <v>587</v>
      </c>
      <c r="E44" s="18" t="s">
        <v>257</v>
      </c>
      <c r="F44" s="18" t="s">
        <v>257</v>
      </c>
      <c r="G44" s="18" t="s">
        <v>257</v>
      </c>
      <c r="H44" s="18" t="s">
        <v>257</v>
      </c>
      <c r="I44" s="18" t="s">
        <v>257</v>
      </c>
      <c r="J44" s="18" t="s">
        <v>257</v>
      </c>
      <c r="K44" s="16" t="str">
        <f t="shared" si="4"/>
        <v>0 شراء  •  0 بيع  •  6 محايد</v>
      </c>
      <c r="L44" s="28">
        <f t="shared" si="5"/>
        <v>0</v>
      </c>
      <c r="M44" s="29">
        <v>2.5423728813559299E-3</v>
      </c>
      <c r="N44" s="30">
        <f t="shared" si="6"/>
        <v>0</v>
      </c>
      <c r="O44" s="31" t="str">
        <f t="shared" si="7"/>
        <v>محايد</v>
      </c>
      <c r="P44" s="32" t="s">
        <v>535</v>
      </c>
    </row>
    <row r="45" spans="1:16" ht="99.75" customHeight="1">
      <c r="A45" s="40">
        <v>38</v>
      </c>
      <c r="B45" s="38" t="s">
        <v>588</v>
      </c>
      <c r="C45" s="104"/>
      <c r="D45" s="22" t="s">
        <v>589</v>
      </c>
      <c r="E45" s="18" t="s">
        <v>257</v>
      </c>
      <c r="F45" s="18" t="s">
        <v>257</v>
      </c>
      <c r="G45" s="18" t="s">
        <v>257</v>
      </c>
      <c r="H45" s="18" t="s">
        <v>257</v>
      </c>
      <c r="I45" s="18" t="s">
        <v>257</v>
      </c>
      <c r="J45" s="18" t="s">
        <v>257</v>
      </c>
      <c r="K45" s="21" t="str">
        <f t="shared" si="4"/>
        <v>0 شراء  •  0 بيع  •  6 محايد</v>
      </c>
      <c r="L45" s="33">
        <f t="shared" si="5"/>
        <v>0</v>
      </c>
      <c r="M45" s="29">
        <v>1.69491525423729E-3</v>
      </c>
      <c r="N45" s="34">
        <f t="shared" si="6"/>
        <v>0</v>
      </c>
      <c r="O45" s="31" t="str">
        <f t="shared" si="7"/>
        <v>محايد</v>
      </c>
      <c r="P45" s="32" t="s">
        <v>535</v>
      </c>
    </row>
    <row r="46" spans="1:16" ht="99.75" customHeight="1">
      <c r="A46" s="40">
        <v>39</v>
      </c>
      <c r="B46" s="38" t="s">
        <v>590</v>
      </c>
      <c r="C46" s="104"/>
      <c r="D46" s="17" t="s">
        <v>591</v>
      </c>
      <c r="E46" s="18" t="s">
        <v>257</v>
      </c>
      <c r="F46" s="18" t="s">
        <v>257</v>
      </c>
      <c r="G46" s="18" t="s">
        <v>257</v>
      </c>
      <c r="H46" s="18" t="s">
        <v>257</v>
      </c>
      <c r="I46" s="18" t="s">
        <v>257</v>
      </c>
      <c r="J46" s="18" t="s">
        <v>257</v>
      </c>
      <c r="K46" s="16" t="str">
        <f t="shared" si="4"/>
        <v>0 شراء  •  0 بيع  •  6 محايد</v>
      </c>
      <c r="L46" s="28">
        <f t="shared" si="5"/>
        <v>0</v>
      </c>
      <c r="M46" s="29">
        <v>1.69491525423729E-3</v>
      </c>
      <c r="N46" s="30">
        <f t="shared" si="6"/>
        <v>0</v>
      </c>
      <c r="O46" s="31" t="str">
        <f t="shared" si="7"/>
        <v>محايد</v>
      </c>
      <c r="P46" s="32" t="s">
        <v>535</v>
      </c>
    </row>
    <row r="47" spans="1:16" ht="99.75" customHeight="1">
      <c r="A47" s="40">
        <v>40</v>
      </c>
      <c r="B47" s="38" t="s">
        <v>592</v>
      </c>
      <c r="C47" s="104"/>
      <c r="D47" s="22" t="s">
        <v>593</v>
      </c>
      <c r="E47" s="18" t="s">
        <v>257</v>
      </c>
      <c r="F47" s="18" t="s">
        <v>257</v>
      </c>
      <c r="G47" s="18" t="s">
        <v>257</v>
      </c>
      <c r="H47" s="18" t="s">
        <v>257</v>
      </c>
      <c r="I47" s="18" t="s">
        <v>257</v>
      </c>
      <c r="J47" s="18" t="s">
        <v>257</v>
      </c>
      <c r="K47" s="21" t="str">
        <f t="shared" si="4"/>
        <v>0 شراء  •  0 بيع  •  6 محايد</v>
      </c>
      <c r="L47" s="33">
        <f t="shared" si="5"/>
        <v>0</v>
      </c>
      <c r="M47" s="29">
        <v>1.69491525423729E-3</v>
      </c>
      <c r="N47" s="34">
        <f t="shared" si="6"/>
        <v>0</v>
      </c>
      <c r="O47" s="31" t="str">
        <f t="shared" si="7"/>
        <v>محايد</v>
      </c>
      <c r="P47" s="32" t="s">
        <v>535</v>
      </c>
    </row>
    <row r="48" spans="1:16" ht="99.75" customHeight="1">
      <c r="A48" s="40">
        <v>41</v>
      </c>
      <c r="B48" s="38" t="s">
        <v>594</v>
      </c>
      <c r="C48" s="104"/>
      <c r="D48" s="17" t="s">
        <v>595</v>
      </c>
      <c r="E48" s="18" t="s">
        <v>257</v>
      </c>
      <c r="F48" s="18" t="s">
        <v>257</v>
      </c>
      <c r="G48" s="18" t="s">
        <v>257</v>
      </c>
      <c r="H48" s="18" t="s">
        <v>257</v>
      </c>
      <c r="I48" s="18" t="s">
        <v>257</v>
      </c>
      <c r="J48" s="18" t="s">
        <v>257</v>
      </c>
      <c r="K48" s="16" t="str">
        <f t="shared" si="4"/>
        <v>0 شراء  •  0 بيع  •  6 محايد</v>
      </c>
      <c r="L48" s="28">
        <f t="shared" si="5"/>
        <v>0</v>
      </c>
      <c r="M48" s="29">
        <v>1.69491525423729E-3</v>
      </c>
      <c r="N48" s="30">
        <f t="shared" si="6"/>
        <v>0</v>
      </c>
      <c r="O48" s="31" t="str">
        <f t="shared" si="7"/>
        <v>محايد</v>
      </c>
      <c r="P48" s="32" t="s">
        <v>535</v>
      </c>
    </row>
    <row r="49" spans="1:16" ht="99.75" customHeight="1">
      <c r="A49" s="40">
        <v>42</v>
      </c>
      <c r="B49" s="38" t="s">
        <v>596</v>
      </c>
      <c r="C49" s="104"/>
      <c r="D49" s="22" t="s">
        <v>597</v>
      </c>
      <c r="E49" s="18" t="s">
        <v>257</v>
      </c>
      <c r="F49" s="18" t="s">
        <v>257</v>
      </c>
      <c r="G49" s="18" t="s">
        <v>257</v>
      </c>
      <c r="H49" s="18" t="s">
        <v>257</v>
      </c>
      <c r="I49" s="18" t="s">
        <v>257</v>
      </c>
      <c r="J49" s="18" t="s">
        <v>257</v>
      </c>
      <c r="K49" s="21" t="str">
        <f t="shared" si="4"/>
        <v>0 شراء  •  0 بيع  •  6 محايد</v>
      </c>
      <c r="L49" s="33">
        <f t="shared" si="5"/>
        <v>0</v>
      </c>
      <c r="M49" s="29">
        <v>1.69491525423729E-3</v>
      </c>
      <c r="N49" s="34">
        <f t="shared" si="6"/>
        <v>0</v>
      </c>
      <c r="O49" s="31" t="str">
        <f t="shared" si="7"/>
        <v>محايد</v>
      </c>
      <c r="P49" s="32" t="s">
        <v>535</v>
      </c>
    </row>
    <row r="50" spans="1:16" ht="99.75" customHeight="1">
      <c r="A50" s="40">
        <v>43</v>
      </c>
      <c r="B50" s="38" t="s">
        <v>598</v>
      </c>
      <c r="C50" s="104"/>
      <c r="D50" s="17" t="s">
        <v>599</v>
      </c>
      <c r="E50" s="18" t="s">
        <v>257</v>
      </c>
      <c r="F50" s="18" t="s">
        <v>257</v>
      </c>
      <c r="G50" s="18" t="s">
        <v>257</v>
      </c>
      <c r="H50" s="18" t="s">
        <v>257</v>
      </c>
      <c r="I50" s="18" t="s">
        <v>257</v>
      </c>
      <c r="J50" s="18" t="s">
        <v>257</v>
      </c>
      <c r="K50" s="16" t="str">
        <f t="shared" si="4"/>
        <v>0 شراء  •  0 بيع  •  6 محايد</v>
      </c>
      <c r="L50" s="28">
        <f t="shared" si="5"/>
        <v>0</v>
      </c>
      <c r="M50" s="29">
        <v>1.69491525423729E-3</v>
      </c>
      <c r="N50" s="30">
        <f t="shared" si="6"/>
        <v>0</v>
      </c>
      <c r="O50" s="31" t="str">
        <f t="shared" si="7"/>
        <v>محايد</v>
      </c>
      <c r="P50" s="32" t="s">
        <v>535</v>
      </c>
    </row>
    <row r="51" spans="1:16" ht="99.75" customHeight="1">
      <c r="A51" s="40">
        <v>44</v>
      </c>
      <c r="B51" s="49" t="s">
        <v>600</v>
      </c>
      <c r="C51" s="104"/>
      <c r="D51" s="22" t="s">
        <v>601</v>
      </c>
      <c r="E51" s="18" t="s">
        <v>257</v>
      </c>
      <c r="F51" s="18" t="s">
        <v>257</v>
      </c>
      <c r="G51" s="18" t="s">
        <v>257</v>
      </c>
      <c r="H51" s="18" t="s">
        <v>257</v>
      </c>
      <c r="I51" s="18" t="s">
        <v>257</v>
      </c>
      <c r="J51" s="18" t="s">
        <v>257</v>
      </c>
      <c r="K51" s="21" t="str">
        <f t="shared" si="4"/>
        <v>0 شراء  •  0 بيع  •  6 محايد</v>
      </c>
      <c r="L51" s="33">
        <f t="shared" si="5"/>
        <v>0</v>
      </c>
      <c r="M51" s="29">
        <v>8.4745762711864404E-4</v>
      </c>
      <c r="N51" s="34">
        <f t="shared" si="6"/>
        <v>0</v>
      </c>
      <c r="O51" s="31" t="str">
        <f t="shared" si="7"/>
        <v>محايد</v>
      </c>
      <c r="P51" s="32" t="s">
        <v>535</v>
      </c>
    </row>
    <row r="52" spans="1:16" ht="99.75" customHeight="1">
      <c r="A52" s="40">
        <v>45</v>
      </c>
      <c r="B52" s="49" t="s">
        <v>602</v>
      </c>
      <c r="C52" s="104"/>
      <c r="D52" s="17" t="s">
        <v>603</v>
      </c>
      <c r="E52" s="18" t="s">
        <v>257</v>
      </c>
      <c r="F52" s="18" t="s">
        <v>257</v>
      </c>
      <c r="G52" s="18" t="s">
        <v>257</v>
      </c>
      <c r="H52" s="18" t="s">
        <v>257</v>
      </c>
      <c r="I52" s="18" t="s">
        <v>257</v>
      </c>
      <c r="J52" s="18" t="s">
        <v>257</v>
      </c>
      <c r="K52" s="16" t="str">
        <f t="shared" si="4"/>
        <v>0 شراء  •  0 بيع  •  6 محايد</v>
      </c>
      <c r="L52" s="28">
        <f t="shared" si="5"/>
        <v>0</v>
      </c>
      <c r="M52" s="29">
        <v>8.4745762711864404E-4</v>
      </c>
      <c r="N52" s="30">
        <f t="shared" si="6"/>
        <v>0</v>
      </c>
      <c r="O52" s="31" t="str">
        <f t="shared" si="7"/>
        <v>محايد</v>
      </c>
      <c r="P52" s="32" t="s">
        <v>535</v>
      </c>
    </row>
    <row r="53" spans="1:16" ht="99.75" customHeight="1">
      <c r="A53" s="40">
        <v>46</v>
      </c>
      <c r="B53" s="49" t="s">
        <v>604</v>
      </c>
      <c r="C53" s="105"/>
      <c r="D53" s="22" t="s">
        <v>605</v>
      </c>
      <c r="E53" s="18" t="s">
        <v>257</v>
      </c>
      <c r="F53" s="18" t="s">
        <v>257</v>
      </c>
      <c r="G53" s="18" t="s">
        <v>257</v>
      </c>
      <c r="H53" s="18" t="s">
        <v>257</v>
      </c>
      <c r="I53" s="18" t="s">
        <v>257</v>
      </c>
      <c r="J53" s="18" t="s">
        <v>257</v>
      </c>
      <c r="K53" s="21" t="str">
        <f t="shared" si="4"/>
        <v>0 شراء  •  0 بيع  •  6 محايد</v>
      </c>
      <c r="L53" s="33">
        <f t="shared" si="5"/>
        <v>0</v>
      </c>
      <c r="M53" s="29">
        <v>8.4745762711864404E-4</v>
      </c>
      <c r="N53" s="34">
        <f t="shared" si="6"/>
        <v>0</v>
      </c>
      <c r="O53" s="31" t="str">
        <f t="shared" si="7"/>
        <v>محايد</v>
      </c>
      <c r="P53" s="32" t="s">
        <v>535</v>
      </c>
    </row>
    <row r="54" spans="1:16" ht="99.75" customHeight="1">
      <c r="A54" s="41">
        <v>47</v>
      </c>
      <c r="B54" s="26" t="s">
        <v>606</v>
      </c>
      <c r="C54" s="98" t="s">
        <v>607</v>
      </c>
      <c r="D54" s="17" t="s">
        <v>608</v>
      </c>
      <c r="E54" s="18" t="s">
        <v>257</v>
      </c>
      <c r="F54" s="18" t="s">
        <v>257</v>
      </c>
      <c r="G54" s="18" t="s">
        <v>257</v>
      </c>
      <c r="H54" s="18" t="s">
        <v>257</v>
      </c>
      <c r="I54" s="18" t="s">
        <v>257</v>
      </c>
      <c r="J54" s="18" t="s">
        <v>257</v>
      </c>
      <c r="K54" s="16" t="str">
        <f t="shared" si="4"/>
        <v>0 شراء  •  0 بيع  •  6 محايد</v>
      </c>
      <c r="L54" s="28">
        <f t="shared" si="5"/>
        <v>0</v>
      </c>
      <c r="M54" s="29">
        <v>3.3898305084745801E-3</v>
      </c>
      <c r="N54" s="30">
        <f t="shared" si="6"/>
        <v>0</v>
      </c>
      <c r="O54" s="31" t="str">
        <f t="shared" si="7"/>
        <v>محايد</v>
      </c>
      <c r="P54" s="32" t="s">
        <v>609</v>
      </c>
    </row>
    <row r="55" spans="1:16" ht="99.75" customHeight="1">
      <c r="A55" s="41">
        <v>48</v>
      </c>
      <c r="B55" s="35" t="s">
        <v>610</v>
      </c>
      <c r="C55" s="119"/>
      <c r="D55" s="22" t="s">
        <v>611</v>
      </c>
      <c r="E55" s="18" t="s">
        <v>257</v>
      </c>
      <c r="F55" s="18" t="s">
        <v>257</v>
      </c>
      <c r="G55" s="18" t="s">
        <v>257</v>
      </c>
      <c r="H55" s="18" t="s">
        <v>257</v>
      </c>
      <c r="I55" s="18" t="s">
        <v>257</v>
      </c>
      <c r="J55" s="18" t="s">
        <v>257</v>
      </c>
      <c r="K55" s="21" t="str">
        <f t="shared" si="4"/>
        <v>0 شراء  •  0 بيع  •  6 محايد</v>
      </c>
      <c r="L55" s="33">
        <f t="shared" si="5"/>
        <v>0</v>
      </c>
      <c r="M55" s="29">
        <v>2.5423728813559299E-3</v>
      </c>
      <c r="N55" s="34">
        <f t="shared" si="6"/>
        <v>0</v>
      </c>
      <c r="O55" s="31" t="str">
        <f t="shared" si="7"/>
        <v>محايد</v>
      </c>
      <c r="P55" s="32" t="s">
        <v>612</v>
      </c>
    </row>
    <row r="56" spans="1:16" ht="99.75" customHeight="1">
      <c r="A56" s="41">
        <v>49</v>
      </c>
      <c r="B56" s="26" t="s">
        <v>613</v>
      </c>
      <c r="C56" s="99"/>
      <c r="D56" s="17" t="s">
        <v>614</v>
      </c>
      <c r="E56" s="18" t="s">
        <v>257</v>
      </c>
      <c r="F56" s="18" t="s">
        <v>257</v>
      </c>
      <c r="G56" s="18" t="s">
        <v>257</v>
      </c>
      <c r="H56" s="18" t="s">
        <v>257</v>
      </c>
      <c r="I56" s="18" t="s">
        <v>257</v>
      </c>
      <c r="J56" s="18" t="s">
        <v>257</v>
      </c>
      <c r="K56" s="16" t="str">
        <f t="shared" si="4"/>
        <v>0 شراء  •  0 بيع  •  6 محايد</v>
      </c>
      <c r="L56" s="28">
        <f t="shared" si="5"/>
        <v>0</v>
      </c>
      <c r="M56" s="29">
        <v>3.3898305084745801E-3</v>
      </c>
      <c r="N56" s="30">
        <f t="shared" si="6"/>
        <v>0</v>
      </c>
      <c r="O56" s="31" t="str">
        <f t="shared" si="7"/>
        <v>محايد</v>
      </c>
      <c r="P56" s="32" t="s">
        <v>615</v>
      </c>
    </row>
    <row r="57" spans="1:16" ht="99.75" customHeight="1">
      <c r="A57" s="42">
        <v>50</v>
      </c>
      <c r="B57" s="26" t="s">
        <v>616</v>
      </c>
      <c r="C57" s="120" t="s">
        <v>617</v>
      </c>
      <c r="D57" s="22" t="s">
        <v>618</v>
      </c>
      <c r="E57" s="18" t="s">
        <v>257</v>
      </c>
      <c r="F57" s="18" t="s">
        <v>257</v>
      </c>
      <c r="G57" s="18" t="s">
        <v>257</v>
      </c>
      <c r="H57" s="18" t="s">
        <v>257</v>
      </c>
      <c r="I57" s="18" t="s">
        <v>257</v>
      </c>
      <c r="J57" s="18" t="s">
        <v>257</v>
      </c>
      <c r="K57" s="21" t="str">
        <f t="shared" si="4"/>
        <v>0 شراء  •  0 بيع  •  6 محايد</v>
      </c>
      <c r="L57" s="33">
        <f t="shared" si="5"/>
        <v>0</v>
      </c>
      <c r="M57" s="29">
        <v>3.3898305084745801E-3</v>
      </c>
      <c r="N57" s="34">
        <f t="shared" si="6"/>
        <v>0</v>
      </c>
      <c r="O57" s="31" t="str">
        <f t="shared" si="7"/>
        <v>محايد</v>
      </c>
      <c r="P57" s="32" t="s">
        <v>619</v>
      </c>
    </row>
    <row r="58" spans="1:16" ht="99.75" customHeight="1">
      <c r="A58" s="42">
        <v>51</v>
      </c>
      <c r="B58" s="35" t="s">
        <v>620</v>
      </c>
      <c r="C58" s="121"/>
      <c r="D58" s="17" t="s">
        <v>621</v>
      </c>
      <c r="E58" s="18" t="s">
        <v>257</v>
      </c>
      <c r="F58" s="18" t="s">
        <v>257</v>
      </c>
      <c r="G58" s="18" t="s">
        <v>257</v>
      </c>
      <c r="H58" s="18" t="s">
        <v>257</v>
      </c>
      <c r="I58" s="18" t="s">
        <v>257</v>
      </c>
      <c r="J58" s="18" t="s">
        <v>257</v>
      </c>
      <c r="K58" s="16" t="str">
        <f t="shared" si="4"/>
        <v>0 شراء  •  0 بيع  •  6 محايد</v>
      </c>
      <c r="L58" s="28">
        <f t="shared" si="5"/>
        <v>0</v>
      </c>
      <c r="M58" s="29">
        <v>2.5423728813559299E-3</v>
      </c>
      <c r="N58" s="30">
        <f t="shared" si="6"/>
        <v>0</v>
      </c>
      <c r="O58" s="31" t="str">
        <f t="shared" si="7"/>
        <v>محايد</v>
      </c>
      <c r="P58" s="32" t="s">
        <v>622</v>
      </c>
    </row>
    <row r="59" spans="1:16" ht="99.75" customHeight="1">
      <c r="A59" s="42">
        <v>52</v>
      </c>
      <c r="B59" s="49" t="s">
        <v>623</v>
      </c>
      <c r="C59" s="121"/>
      <c r="D59" s="22" t="s">
        <v>624</v>
      </c>
      <c r="E59" s="18" t="s">
        <v>257</v>
      </c>
      <c r="F59" s="18" t="s">
        <v>257</v>
      </c>
      <c r="G59" s="18" t="s">
        <v>257</v>
      </c>
      <c r="H59" s="18" t="s">
        <v>257</v>
      </c>
      <c r="I59" s="18" t="s">
        <v>257</v>
      </c>
      <c r="J59" s="18" t="s">
        <v>257</v>
      </c>
      <c r="K59" s="21" t="str">
        <f t="shared" si="4"/>
        <v>0 شراء  •  0 بيع  •  6 محايد</v>
      </c>
      <c r="L59" s="33">
        <f t="shared" si="5"/>
        <v>0</v>
      </c>
      <c r="M59" s="29">
        <v>8.4745762711864404E-4</v>
      </c>
      <c r="N59" s="34">
        <f t="shared" si="6"/>
        <v>0</v>
      </c>
      <c r="O59" s="31" t="str">
        <f t="shared" si="7"/>
        <v>محايد</v>
      </c>
      <c r="P59" s="32" t="s">
        <v>535</v>
      </c>
    </row>
    <row r="60" spans="1:16" ht="99.75" customHeight="1">
      <c r="A60" s="42">
        <v>53</v>
      </c>
      <c r="B60" s="49" t="s">
        <v>625</v>
      </c>
      <c r="C60" s="121"/>
      <c r="D60" s="17" t="s">
        <v>626</v>
      </c>
      <c r="E60" s="18" t="s">
        <v>257</v>
      </c>
      <c r="F60" s="18" t="s">
        <v>257</v>
      </c>
      <c r="G60" s="18" t="s">
        <v>257</v>
      </c>
      <c r="H60" s="18" t="s">
        <v>257</v>
      </c>
      <c r="I60" s="18" t="s">
        <v>257</v>
      </c>
      <c r="J60" s="18" t="s">
        <v>257</v>
      </c>
      <c r="K60" s="16" t="str">
        <f t="shared" si="4"/>
        <v>0 شراء  •  0 بيع  •  6 محايد</v>
      </c>
      <c r="L60" s="28">
        <f t="shared" si="5"/>
        <v>0</v>
      </c>
      <c r="M60" s="29">
        <v>8.4745762711864404E-4</v>
      </c>
      <c r="N60" s="30">
        <f t="shared" si="6"/>
        <v>0</v>
      </c>
      <c r="O60" s="31" t="str">
        <f t="shared" si="7"/>
        <v>محايد</v>
      </c>
      <c r="P60" s="32" t="s">
        <v>535</v>
      </c>
    </row>
    <row r="61" spans="1:16" ht="99.75" customHeight="1">
      <c r="A61" s="42">
        <v>54</v>
      </c>
      <c r="B61" s="49" t="s">
        <v>627</v>
      </c>
      <c r="C61" s="122"/>
      <c r="D61" s="22" t="s">
        <v>628</v>
      </c>
      <c r="E61" s="18" t="s">
        <v>257</v>
      </c>
      <c r="F61" s="18" t="s">
        <v>257</v>
      </c>
      <c r="G61" s="18" t="s">
        <v>257</v>
      </c>
      <c r="H61" s="18" t="s">
        <v>257</v>
      </c>
      <c r="I61" s="18" t="s">
        <v>257</v>
      </c>
      <c r="J61" s="18" t="s">
        <v>257</v>
      </c>
      <c r="K61" s="21" t="str">
        <f t="shared" si="4"/>
        <v>0 شراء  •  0 بيع  •  6 محايد</v>
      </c>
      <c r="L61" s="33">
        <f t="shared" si="5"/>
        <v>0</v>
      </c>
      <c r="M61" s="29">
        <v>8.4745762711864404E-4</v>
      </c>
      <c r="N61" s="34">
        <f t="shared" si="6"/>
        <v>0</v>
      </c>
      <c r="O61" s="31" t="str">
        <f t="shared" si="7"/>
        <v>محايد</v>
      </c>
      <c r="P61" s="32" t="s">
        <v>535</v>
      </c>
    </row>
    <row r="62" spans="1:16" ht="31.5" customHeight="1">
      <c r="A62" s="95" t="s">
        <v>329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</row>
    <row r="63" spans="1:16" ht="25.5" customHeight="1">
      <c r="A63" s="109" t="s">
        <v>330</v>
      </c>
      <c r="B63" s="109"/>
      <c r="C63" s="109"/>
      <c r="D63" s="109"/>
      <c r="E63" s="6" t="s">
        <v>42</v>
      </c>
      <c r="F63" s="6" t="s">
        <v>43</v>
      </c>
      <c r="G63" s="6" t="s">
        <v>19</v>
      </c>
      <c r="H63" s="6" t="s">
        <v>44</v>
      </c>
      <c r="I63" s="6" t="s">
        <v>45</v>
      </c>
      <c r="J63" s="6" t="s">
        <v>46</v>
      </c>
    </row>
    <row r="64" spans="1:16" ht="25.5" customHeight="1">
      <c r="A64" s="110" t="s">
        <v>331</v>
      </c>
      <c r="B64" s="110"/>
      <c r="C64" s="110"/>
      <c r="D64" s="110"/>
      <c r="E64" s="44">
        <f>SUMPRODUCT((E8:E61="شراء")*(M8:M61))</f>
        <v>0</v>
      </c>
      <c r="F64" s="44">
        <f>SUMPRODUCT((F8:F61="شراء")*(M8:M61))</f>
        <v>0</v>
      </c>
      <c r="G64" s="44">
        <f>SUMPRODUCT((G8:G61="شراء")*(M8:M61))</f>
        <v>0</v>
      </c>
      <c r="H64" s="44">
        <f>SUMPRODUCT((H8:H61="شراء")*(M8:M61))</f>
        <v>0</v>
      </c>
      <c r="I64" s="44">
        <f>SUMPRODUCT((I8:I61="شراء")*(M8:M61))</f>
        <v>0</v>
      </c>
      <c r="J64" s="44">
        <f>SUMPRODUCT((J8:J61="شراء")*(M8:M61))</f>
        <v>0</v>
      </c>
    </row>
    <row r="65" spans="1:10" ht="25.5" customHeight="1">
      <c r="A65" s="111" t="s">
        <v>332</v>
      </c>
      <c r="B65" s="111"/>
      <c r="C65" s="111"/>
      <c r="D65" s="111"/>
      <c r="E65" s="45">
        <f>SUMPRODUCT((E8:E61="بيع")*(M8:M61))</f>
        <v>0</v>
      </c>
      <c r="F65" s="45">
        <f>SUMPRODUCT((F8:F61="بيع")*(M8:M61))</f>
        <v>0</v>
      </c>
      <c r="G65" s="45">
        <f>SUMPRODUCT((G8:G61="بيع")*(M8:M61))</f>
        <v>0</v>
      </c>
      <c r="H65" s="45">
        <f>SUMPRODUCT((H8:H61="بيع")*(M8:M61))</f>
        <v>0</v>
      </c>
      <c r="I65" s="45">
        <f>SUMPRODUCT((I8:I61="بيع")*(M8:M61))</f>
        <v>0</v>
      </c>
      <c r="J65" s="45">
        <f>SUMPRODUCT((J8:J61="بيع")*(M8:M61))</f>
        <v>0</v>
      </c>
    </row>
    <row r="66" spans="1:10" ht="25.5" customHeight="1">
      <c r="A66" s="112" t="s">
        <v>333</v>
      </c>
      <c r="B66" s="112"/>
      <c r="C66" s="112"/>
      <c r="D66" s="112"/>
      <c r="E66" s="46">
        <f t="shared" ref="E66:J66" si="8">E64-E65</f>
        <v>0</v>
      </c>
      <c r="F66" s="46">
        <f t="shared" si="8"/>
        <v>0</v>
      </c>
      <c r="G66" s="46">
        <f t="shared" si="8"/>
        <v>0</v>
      </c>
      <c r="H66" s="46">
        <f t="shared" si="8"/>
        <v>0</v>
      </c>
      <c r="I66" s="46">
        <f t="shared" si="8"/>
        <v>0</v>
      </c>
      <c r="J66" s="46">
        <f t="shared" si="8"/>
        <v>0</v>
      </c>
    </row>
    <row r="67" spans="1:10" ht="25.5" customHeight="1">
      <c r="A67" s="90" t="s">
        <v>334</v>
      </c>
      <c r="B67" s="90"/>
      <c r="C67" s="90"/>
      <c r="D67" s="90"/>
      <c r="E67" s="47" t="str">
        <f t="shared" ref="E67:J67" si="9">IF(E66&gt;0.005,"شراء 🟢",IF(E66&lt;-0.005,"بيع 🔴","محايد ⚪"))</f>
        <v>محايد ⚪</v>
      </c>
      <c r="F67" s="47" t="str">
        <f t="shared" si="9"/>
        <v>محايد ⚪</v>
      </c>
      <c r="G67" s="47" t="str">
        <f t="shared" si="9"/>
        <v>محايد ⚪</v>
      </c>
      <c r="H67" s="47" t="str">
        <f t="shared" si="9"/>
        <v>محايد ⚪</v>
      </c>
      <c r="I67" s="47" t="str">
        <f t="shared" si="9"/>
        <v>محايد ⚪</v>
      </c>
      <c r="J67" s="47" t="str">
        <f t="shared" si="9"/>
        <v>محايد ⚪</v>
      </c>
    </row>
    <row r="68" spans="1:10" ht="25.5" customHeight="1">
      <c r="A68" s="89" t="s">
        <v>335</v>
      </c>
      <c r="B68" s="89"/>
      <c r="C68" s="89"/>
      <c r="D68" s="89"/>
      <c r="E68" s="48">
        <f>IFERROR(ABS(E66)/SUM(M8:M61),0)</f>
        <v>0</v>
      </c>
      <c r="F68" s="48">
        <f>IFERROR(ABS(F66)/SUM(M8:M61),0)</f>
        <v>0</v>
      </c>
      <c r="G68" s="48">
        <f>IFERROR(ABS(G66)/SUM(M8:M61),0)</f>
        <v>0</v>
      </c>
      <c r="H68" s="48">
        <f>IFERROR(ABS(H66)/SUM(M8:M61),0)</f>
        <v>0</v>
      </c>
      <c r="I68" s="48">
        <f>IFERROR(ABS(I66)/SUM(M8:M61),0)</f>
        <v>0</v>
      </c>
      <c r="J68" s="48">
        <f>IFERROR(ABS(J66)/SUM(M8:M61),0)</f>
        <v>0</v>
      </c>
    </row>
  </sheetData>
  <mergeCells count="30">
    <mergeCell ref="A1:P1"/>
    <mergeCell ref="A2:P2"/>
    <mergeCell ref="A3:D3"/>
    <mergeCell ref="F3:H3"/>
    <mergeCell ref="I3:K3"/>
    <mergeCell ref="L3:P3"/>
    <mergeCell ref="A4:P4"/>
    <mergeCell ref="A5:A7"/>
    <mergeCell ref="B5:B7"/>
    <mergeCell ref="C5:C7"/>
    <mergeCell ref="D5:D7"/>
    <mergeCell ref="E5:K5"/>
    <mergeCell ref="L5:L7"/>
    <mergeCell ref="M5:M7"/>
    <mergeCell ref="N5:N7"/>
    <mergeCell ref="O5:O7"/>
    <mergeCell ref="P5:P7"/>
    <mergeCell ref="A67:D67"/>
    <mergeCell ref="A68:D68"/>
    <mergeCell ref="C8:C18"/>
    <mergeCell ref="C19:C33"/>
    <mergeCell ref="C34:C42"/>
    <mergeCell ref="C43:C53"/>
    <mergeCell ref="C54:C56"/>
    <mergeCell ref="C57:C61"/>
    <mergeCell ref="A62:P62"/>
    <mergeCell ref="A63:D63"/>
    <mergeCell ref="A64:D64"/>
    <mergeCell ref="A65:D65"/>
    <mergeCell ref="A66:D66"/>
  </mergeCells>
  <conditionalFormatting sqref="E8:J61">
    <cfRule type="cellIs" dxfId="14" priority="2" operator="equal">
      <formula>"شراء"</formula>
    </cfRule>
    <cfRule type="cellIs" dxfId="13" priority="3" operator="equal">
      <formula>"بيع"</formula>
    </cfRule>
    <cfRule type="cellIs" dxfId="12" priority="4" operator="equal">
      <formula>"محايد"</formula>
    </cfRule>
  </conditionalFormatting>
  <conditionalFormatting sqref="E67:J67">
    <cfRule type="expression" dxfId="11" priority="9">
      <formula>ISNUMBER(SEARCH("شراء",E67))</formula>
    </cfRule>
    <cfRule type="expression" dxfId="10" priority="10">
      <formula>ISNUMBER(SEARCH("بيع",E67))</formula>
    </cfRule>
  </conditionalFormatting>
  <conditionalFormatting sqref="F3:H3">
    <cfRule type="expression" dxfId="9" priority="11">
      <formula>ISNUMBER(SEARCH("شراء",F3))</formula>
    </cfRule>
    <cfRule type="expression" dxfId="8" priority="12">
      <formula>ISNUMBER(SEARCH("بيع",F3))</formula>
    </cfRule>
  </conditionalFormatting>
  <conditionalFormatting sqref="L8:L61">
    <cfRule type="expression" dxfId="7" priority="7">
      <formula>L8&gt;0.001</formula>
    </cfRule>
    <cfRule type="expression" dxfId="6" priority="8">
      <formula>L8&lt;-0.001</formula>
    </cfRule>
  </conditionalFormatting>
  <conditionalFormatting sqref="O8:O61">
    <cfRule type="cellIs" dxfId="5" priority="5" operator="equal">
      <formula>"شراء"</formula>
    </cfRule>
    <cfRule type="cellIs" dxfId="4" priority="6" operator="equal">
      <formula>"بيع"</formula>
    </cfRule>
  </conditionalFormatting>
  <dataValidations count="2">
    <dataValidation type="list" sqref="E3" xr:uid="{00000000-0002-0000-0400-000000000000}">
      <formula1>"1M,5M,15M,30M,1H,4H"</formula1>
      <formula2>0</formula2>
    </dataValidation>
    <dataValidation type="list" allowBlank="1" sqref="E8:J61" xr:uid="{00000000-0002-0000-0400-000001000000}">
      <formula1>"شراء,بيع,محايد"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9"/>
  <sheetViews>
    <sheetView showGridLines="0" rightToLeft="1" topLeftCell="A50" zoomScaleNormal="100" workbookViewId="0">
      <selection sqref="A1:P1"/>
    </sheetView>
  </sheetViews>
  <sheetFormatPr baseColWidth="10" defaultColWidth="8.6640625" defaultRowHeight="15"/>
  <cols>
    <col min="1" max="1" width="4" customWidth="1"/>
    <col min="2" max="2" width="32" customWidth="1"/>
    <col min="3" max="3" width="12" customWidth="1"/>
    <col min="4" max="7" width="14" customWidth="1"/>
    <col min="8" max="9" width="16" customWidth="1"/>
    <col min="10" max="15" width="9" customWidth="1"/>
    <col min="16" max="16" width="13" customWidth="1"/>
  </cols>
  <sheetData>
    <row r="1" spans="1:16" ht="49.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ht="25.5" customHeight="1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16" ht="30" customHeight="1">
      <c r="A3" s="86" t="s">
        <v>629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27.75" customHeight="1">
      <c r="A4" s="87" t="s">
        <v>630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</row>
    <row r="6" spans="1:16" ht="30" customHeight="1">
      <c r="A6" s="97" t="s">
        <v>631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</row>
    <row r="7" spans="1:16" ht="45" customHeight="1">
      <c r="A7" s="14" t="s">
        <v>4</v>
      </c>
      <c r="B7" s="14" t="s">
        <v>632</v>
      </c>
      <c r="C7" s="14" t="s">
        <v>245</v>
      </c>
      <c r="D7" s="14" t="s">
        <v>633</v>
      </c>
      <c r="E7" s="14" t="s">
        <v>634</v>
      </c>
      <c r="F7" s="14" t="s">
        <v>635</v>
      </c>
      <c r="G7" s="14" t="s">
        <v>636</v>
      </c>
      <c r="H7" s="14" t="s">
        <v>637</v>
      </c>
      <c r="I7" s="14" t="s">
        <v>638</v>
      </c>
      <c r="J7" s="14" t="s">
        <v>42</v>
      </c>
      <c r="K7" s="14" t="s">
        <v>43</v>
      </c>
      <c r="L7" s="14" t="s">
        <v>19</v>
      </c>
      <c r="M7" s="14" t="s">
        <v>44</v>
      </c>
      <c r="N7" s="14" t="s">
        <v>45</v>
      </c>
      <c r="O7" s="14" t="s">
        <v>46</v>
      </c>
      <c r="P7" s="14" t="s">
        <v>639</v>
      </c>
    </row>
    <row r="8" spans="1:16" ht="42" customHeight="1">
      <c r="A8" s="15">
        <v>1</v>
      </c>
      <c r="B8" s="53" t="s">
        <v>640</v>
      </c>
      <c r="C8" s="54" t="s">
        <v>641</v>
      </c>
      <c r="D8" s="55" t="s">
        <v>642</v>
      </c>
      <c r="E8" s="55" t="s">
        <v>642</v>
      </c>
      <c r="F8" s="55" t="s">
        <v>642</v>
      </c>
      <c r="G8" s="55" t="s">
        <v>642</v>
      </c>
      <c r="H8" s="56" t="s">
        <v>642</v>
      </c>
      <c r="I8" s="57" t="s">
        <v>642</v>
      </c>
      <c r="J8" s="58" t="s">
        <v>53</v>
      </c>
      <c r="K8" s="58" t="s">
        <v>53</v>
      </c>
      <c r="L8" s="58" t="s">
        <v>53</v>
      </c>
      <c r="M8" s="58" t="s">
        <v>53</v>
      </c>
      <c r="N8" s="58" t="s">
        <v>53</v>
      </c>
      <c r="O8" s="58" t="s">
        <v>53</v>
      </c>
      <c r="P8" s="18" t="s">
        <v>56</v>
      </c>
    </row>
    <row r="9" spans="1:16" ht="42" customHeight="1">
      <c r="A9" s="15">
        <v>2</v>
      </c>
      <c r="B9" s="59" t="s">
        <v>643</v>
      </c>
      <c r="C9" s="54" t="s">
        <v>644</v>
      </c>
      <c r="D9" s="60" t="s">
        <v>642</v>
      </c>
      <c r="E9" s="60" t="s">
        <v>642</v>
      </c>
      <c r="F9" s="60" t="s">
        <v>642</v>
      </c>
      <c r="G9" s="60" t="s">
        <v>642</v>
      </c>
      <c r="H9" s="56" t="s">
        <v>642</v>
      </c>
      <c r="I9" s="57" t="s">
        <v>642</v>
      </c>
      <c r="J9" s="58" t="s">
        <v>53</v>
      </c>
      <c r="K9" s="58" t="s">
        <v>53</v>
      </c>
      <c r="L9" s="58" t="s">
        <v>53</v>
      </c>
      <c r="M9" s="58" t="s">
        <v>53</v>
      </c>
      <c r="N9" s="58" t="s">
        <v>53</v>
      </c>
      <c r="O9" s="58" t="s">
        <v>53</v>
      </c>
      <c r="P9" s="18" t="s">
        <v>56</v>
      </c>
    </row>
    <row r="10" spans="1:16" ht="42" customHeight="1">
      <c r="A10" s="15">
        <v>3</v>
      </c>
      <c r="B10" s="53" t="s">
        <v>645</v>
      </c>
      <c r="C10" s="54" t="s">
        <v>646</v>
      </c>
      <c r="D10" s="55" t="s">
        <v>642</v>
      </c>
      <c r="E10" s="55" t="s">
        <v>642</v>
      </c>
      <c r="F10" s="55" t="s">
        <v>642</v>
      </c>
      <c r="G10" s="55" t="s">
        <v>642</v>
      </c>
      <c r="H10" s="56" t="s">
        <v>642</v>
      </c>
      <c r="I10" s="57" t="s">
        <v>642</v>
      </c>
      <c r="J10" s="58" t="s">
        <v>53</v>
      </c>
      <c r="K10" s="58" t="s">
        <v>53</v>
      </c>
      <c r="L10" s="58" t="s">
        <v>53</v>
      </c>
      <c r="M10" s="58" t="s">
        <v>53</v>
      </c>
      <c r="N10" s="58" t="s">
        <v>53</v>
      </c>
      <c r="O10" s="58" t="s">
        <v>53</v>
      </c>
      <c r="P10" s="18" t="s">
        <v>56</v>
      </c>
    </row>
    <row r="11" spans="1:16" ht="42" customHeight="1">
      <c r="A11" s="15">
        <v>4</v>
      </c>
      <c r="B11" s="59" t="s">
        <v>647</v>
      </c>
      <c r="C11" s="54" t="s">
        <v>648</v>
      </c>
      <c r="D11" s="60" t="s">
        <v>642</v>
      </c>
      <c r="E11" s="60" t="s">
        <v>642</v>
      </c>
      <c r="F11" s="60" t="s">
        <v>642</v>
      </c>
      <c r="G11" s="60" t="s">
        <v>642</v>
      </c>
      <c r="H11" s="56" t="s">
        <v>642</v>
      </c>
      <c r="I11" s="57" t="s">
        <v>642</v>
      </c>
      <c r="J11" s="58" t="s">
        <v>53</v>
      </c>
      <c r="K11" s="58" t="s">
        <v>53</v>
      </c>
      <c r="L11" s="58" t="s">
        <v>53</v>
      </c>
      <c r="M11" s="58" t="s">
        <v>53</v>
      </c>
      <c r="N11" s="58" t="s">
        <v>53</v>
      </c>
      <c r="O11" s="58" t="s">
        <v>53</v>
      </c>
      <c r="P11" s="18" t="s">
        <v>56</v>
      </c>
    </row>
    <row r="12" spans="1:16" ht="42" customHeight="1">
      <c r="A12" s="15">
        <v>5</v>
      </c>
      <c r="B12" s="53" t="s">
        <v>649</v>
      </c>
      <c r="C12" s="54" t="s">
        <v>650</v>
      </c>
      <c r="D12" s="55" t="s">
        <v>642</v>
      </c>
      <c r="E12" s="55" t="s">
        <v>642</v>
      </c>
      <c r="F12" s="55" t="s">
        <v>642</v>
      </c>
      <c r="G12" s="55" t="s">
        <v>642</v>
      </c>
      <c r="H12" s="56" t="s">
        <v>642</v>
      </c>
      <c r="I12" s="57" t="s">
        <v>642</v>
      </c>
      <c r="J12" s="58" t="s">
        <v>53</v>
      </c>
      <c r="K12" s="58" t="s">
        <v>53</v>
      </c>
      <c r="L12" s="58" t="s">
        <v>53</v>
      </c>
      <c r="M12" s="58" t="s">
        <v>53</v>
      </c>
      <c r="N12" s="58" t="s">
        <v>53</v>
      </c>
      <c r="O12" s="58" t="s">
        <v>53</v>
      </c>
      <c r="P12" s="18" t="s">
        <v>56</v>
      </c>
    </row>
    <row r="13" spans="1:16" ht="42" customHeight="1">
      <c r="A13" s="15">
        <v>6</v>
      </c>
      <c r="B13" s="59" t="s">
        <v>651</v>
      </c>
      <c r="C13" s="54" t="s">
        <v>652</v>
      </c>
      <c r="D13" s="60" t="s">
        <v>642</v>
      </c>
      <c r="E13" s="60" t="s">
        <v>642</v>
      </c>
      <c r="F13" s="60" t="s">
        <v>642</v>
      </c>
      <c r="G13" s="60" t="s">
        <v>642</v>
      </c>
      <c r="H13" s="56" t="s">
        <v>642</v>
      </c>
      <c r="I13" s="57" t="s">
        <v>642</v>
      </c>
      <c r="J13" s="58" t="s">
        <v>53</v>
      </c>
      <c r="K13" s="58" t="s">
        <v>53</v>
      </c>
      <c r="L13" s="58" t="s">
        <v>53</v>
      </c>
      <c r="M13" s="58" t="s">
        <v>53</v>
      </c>
      <c r="N13" s="58" t="s">
        <v>53</v>
      </c>
      <c r="O13" s="58" t="s">
        <v>53</v>
      </c>
      <c r="P13" s="18" t="s">
        <v>56</v>
      </c>
    </row>
    <row r="14" spans="1:16" ht="42" customHeight="1">
      <c r="A14" s="15">
        <v>7</v>
      </c>
      <c r="B14" s="53" t="s">
        <v>653</v>
      </c>
      <c r="C14" s="54" t="s">
        <v>654</v>
      </c>
      <c r="D14" s="55" t="s">
        <v>642</v>
      </c>
      <c r="E14" s="55" t="s">
        <v>642</v>
      </c>
      <c r="F14" s="55" t="s">
        <v>642</v>
      </c>
      <c r="G14" s="55" t="s">
        <v>642</v>
      </c>
      <c r="H14" s="56" t="s">
        <v>642</v>
      </c>
      <c r="I14" s="57" t="s">
        <v>642</v>
      </c>
      <c r="J14" s="58" t="s">
        <v>53</v>
      </c>
      <c r="K14" s="58" t="s">
        <v>53</v>
      </c>
      <c r="L14" s="58" t="s">
        <v>53</v>
      </c>
      <c r="M14" s="58" t="s">
        <v>53</v>
      </c>
      <c r="N14" s="58" t="s">
        <v>53</v>
      </c>
      <c r="O14" s="58" t="s">
        <v>53</v>
      </c>
      <c r="P14" s="18" t="s">
        <v>56</v>
      </c>
    </row>
    <row r="15" spans="1:16" ht="42" customHeight="1">
      <c r="A15" s="15">
        <v>8</v>
      </c>
      <c r="B15" s="59" t="s">
        <v>655</v>
      </c>
      <c r="C15" s="54" t="s">
        <v>656</v>
      </c>
      <c r="D15" s="60" t="s">
        <v>642</v>
      </c>
      <c r="E15" s="60" t="s">
        <v>642</v>
      </c>
      <c r="F15" s="60" t="s">
        <v>642</v>
      </c>
      <c r="G15" s="60" t="s">
        <v>642</v>
      </c>
      <c r="H15" s="56" t="s">
        <v>642</v>
      </c>
      <c r="I15" s="57" t="s">
        <v>642</v>
      </c>
      <c r="J15" s="58" t="s">
        <v>53</v>
      </c>
      <c r="K15" s="58" t="s">
        <v>53</v>
      </c>
      <c r="L15" s="58" t="s">
        <v>53</v>
      </c>
      <c r="M15" s="58" t="s">
        <v>53</v>
      </c>
      <c r="N15" s="58" t="s">
        <v>53</v>
      </c>
      <c r="O15" s="58" t="s">
        <v>53</v>
      </c>
      <c r="P15" s="18" t="s">
        <v>56</v>
      </c>
    </row>
    <row r="16" spans="1:16" ht="42" customHeight="1">
      <c r="A16" s="15">
        <v>9</v>
      </c>
      <c r="B16" s="53" t="s">
        <v>657</v>
      </c>
      <c r="C16" s="54" t="s">
        <v>658</v>
      </c>
      <c r="D16" s="55" t="s">
        <v>642</v>
      </c>
      <c r="E16" s="55" t="s">
        <v>642</v>
      </c>
      <c r="F16" s="55" t="s">
        <v>642</v>
      </c>
      <c r="G16" s="55" t="s">
        <v>642</v>
      </c>
      <c r="H16" s="56" t="s">
        <v>642</v>
      </c>
      <c r="I16" s="57" t="s">
        <v>642</v>
      </c>
      <c r="J16" s="58" t="s">
        <v>53</v>
      </c>
      <c r="K16" s="58" t="s">
        <v>53</v>
      </c>
      <c r="L16" s="58" t="s">
        <v>53</v>
      </c>
      <c r="M16" s="58" t="s">
        <v>53</v>
      </c>
      <c r="N16" s="58" t="s">
        <v>53</v>
      </c>
      <c r="O16" s="58" t="s">
        <v>53</v>
      </c>
      <c r="P16" s="18" t="s">
        <v>56</v>
      </c>
    </row>
    <row r="17" spans="1:16" ht="42" customHeight="1">
      <c r="A17" s="15">
        <v>10</v>
      </c>
      <c r="B17" s="59" t="s">
        <v>659</v>
      </c>
      <c r="C17" s="54" t="s">
        <v>660</v>
      </c>
      <c r="D17" s="60" t="s">
        <v>642</v>
      </c>
      <c r="E17" s="60" t="s">
        <v>642</v>
      </c>
      <c r="F17" s="60" t="s">
        <v>642</v>
      </c>
      <c r="G17" s="60" t="s">
        <v>642</v>
      </c>
      <c r="H17" s="56" t="s">
        <v>642</v>
      </c>
      <c r="I17" s="57" t="s">
        <v>642</v>
      </c>
      <c r="J17" s="58" t="s">
        <v>53</v>
      </c>
      <c r="K17" s="58" t="s">
        <v>53</v>
      </c>
      <c r="L17" s="58" t="s">
        <v>53</v>
      </c>
      <c r="M17" s="58" t="s">
        <v>53</v>
      </c>
      <c r="N17" s="58" t="s">
        <v>53</v>
      </c>
      <c r="O17" s="58" t="s">
        <v>53</v>
      </c>
      <c r="P17" s="18" t="s">
        <v>56</v>
      </c>
    </row>
    <row r="18" spans="1:16" ht="42" customHeight="1">
      <c r="A18" s="15">
        <v>11</v>
      </c>
      <c r="B18" s="53" t="s">
        <v>661</v>
      </c>
      <c r="C18" s="54" t="s">
        <v>662</v>
      </c>
      <c r="D18" s="55" t="s">
        <v>642</v>
      </c>
      <c r="E18" s="55" t="s">
        <v>642</v>
      </c>
      <c r="F18" s="55" t="s">
        <v>642</v>
      </c>
      <c r="G18" s="55" t="s">
        <v>642</v>
      </c>
      <c r="H18" s="56" t="s">
        <v>642</v>
      </c>
      <c r="I18" s="57" t="s">
        <v>642</v>
      </c>
      <c r="J18" s="58" t="s">
        <v>53</v>
      </c>
      <c r="K18" s="58" t="s">
        <v>53</v>
      </c>
      <c r="L18" s="58" t="s">
        <v>53</v>
      </c>
      <c r="M18" s="58" t="s">
        <v>53</v>
      </c>
      <c r="N18" s="58" t="s">
        <v>53</v>
      </c>
      <c r="O18" s="58" t="s">
        <v>53</v>
      </c>
      <c r="P18" s="18" t="s">
        <v>56</v>
      </c>
    </row>
    <row r="19" spans="1:16" ht="42" customHeight="1">
      <c r="A19" s="15">
        <v>12</v>
      </c>
      <c r="B19" s="59" t="s">
        <v>663</v>
      </c>
      <c r="C19" s="54" t="s">
        <v>664</v>
      </c>
      <c r="D19" s="60" t="s">
        <v>642</v>
      </c>
      <c r="E19" s="60" t="s">
        <v>642</v>
      </c>
      <c r="F19" s="60" t="s">
        <v>642</v>
      </c>
      <c r="G19" s="60" t="s">
        <v>642</v>
      </c>
      <c r="H19" s="56" t="s">
        <v>642</v>
      </c>
      <c r="I19" s="57" t="s">
        <v>642</v>
      </c>
      <c r="J19" s="58" t="s">
        <v>53</v>
      </c>
      <c r="K19" s="58" t="s">
        <v>53</v>
      </c>
      <c r="L19" s="58" t="s">
        <v>53</v>
      </c>
      <c r="M19" s="58" t="s">
        <v>53</v>
      </c>
      <c r="N19" s="58" t="s">
        <v>53</v>
      </c>
      <c r="O19" s="58" t="s">
        <v>53</v>
      </c>
      <c r="P19" s="18" t="s">
        <v>56</v>
      </c>
    </row>
    <row r="20" spans="1:16" ht="42" customHeight="1">
      <c r="A20" s="15">
        <v>13</v>
      </c>
      <c r="B20" s="53" t="s">
        <v>665</v>
      </c>
      <c r="C20" s="54" t="s">
        <v>666</v>
      </c>
      <c r="D20" s="55" t="s">
        <v>642</v>
      </c>
      <c r="E20" s="55" t="s">
        <v>642</v>
      </c>
      <c r="F20" s="55" t="s">
        <v>642</v>
      </c>
      <c r="G20" s="55" t="s">
        <v>642</v>
      </c>
      <c r="H20" s="56" t="s">
        <v>642</v>
      </c>
      <c r="I20" s="57" t="s">
        <v>642</v>
      </c>
      <c r="J20" s="58" t="s">
        <v>53</v>
      </c>
      <c r="K20" s="58" t="s">
        <v>53</v>
      </c>
      <c r="L20" s="58" t="s">
        <v>53</v>
      </c>
      <c r="M20" s="58" t="s">
        <v>53</v>
      </c>
      <c r="N20" s="58" t="s">
        <v>53</v>
      </c>
      <c r="O20" s="58" t="s">
        <v>53</v>
      </c>
      <c r="P20" s="18" t="s">
        <v>56</v>
      </c>
    </row>
    <row r="21" spans="1:16" ht="42" customHeight="1">
      <c r="A21" s="15">
        <v>14</v>
      </c>
      <c r="B21" s="59" t="s">
        <v>667</v>
      </c>
      <c r="C21" s="54" t="s">
        <v>668</v>
      </c>
      <c r="D21" s="60" t="s">
        <v>642</v>
      </c>
      <c r="E21" s="60" t="s">
        <v>642</v>
      </c>
      <c r="F21" s="60" t="s">
        <v>642</v>
      </c>
      <c r="G21" s="60" t="s">
        <v>642</v>
      </c>
      <c r="H21" s="56" t="s">
        <v>642</v>
      </c>
      <c r="I21" s="57" t="s">
        <v>642</v>
      </c>
      <c r="J21" s="58" t="s">
        <v>53</v>
      </c>
      <c r="K21" s="58" t="s">
        <v>53</v>
      </c>
      <c r="L21" s="58" t="s">
        <v>53</v>
      </c>
      <c r="M21" s="58" t="s">
        <v>53</v>
      </c>
      <c r="N21" s="58" t="s">
        <v>53</v>
      </c>
      <c r="O21" s="58" t="s">
        <v>53</v>
      </c>
      <c r="P21" s="18" t="s">
        <v>56</v>
      </c>
    </row>
    <row r="22" spans="1:16" ht="42" customHeight="1">
      <c r="A22" s="15">
        <v>15</v>
      </c>
      <c r="B22" s="53" t="s">
        <v>669</v>
      </c>
      <c r="C22" s="54" t="s">
        <v>670</v>
      </c>
      <c r="D22" s="55" t="s">
        <v>642</v>
      </c>
      <c r="E22" s="55" t="s">
        <v>642</v>
      </c>
      <c r="F22" s="55" t="s">
        <v>642</v>
      </c>
      <c r="G22" s="55" t="s">
        <v>642</v>
      </c>
      <c r="H22" s="56" t="s">
        <v>642</v>
      </c>
      <c r="I22" s="57" t="s">
        <v>642</v>
      </c>
      <c r="J22" s="58" t="s">
        <v>53</v>
      </c>
      <c r="K22" s="58" t="s">
        <v>53</v>
      </c>
      <c r="L22" s="58" t="s">
        <v>53</v>
      </c>
      <c r="M22" s="58" t="s">
        <v>53</v>
      </c>
      <c r="N22" s="58" t="s">
        <v>53</v>
      </c>
      <c r="O22" s="58" t="s">
        <v>53</v>
      </c>
      <c r="P22" s="18" t="s">
        <v>56</v>
      </c>
    </row>
    <row r="23" spans="1:16" ht="31.5" customHeight="1">
      <c r="A23" s="132" t="s">
        <v>671</v>
      </c>
      <c r="B23" s="132"/>
      <c r="C23" s="132"/>
      <c r="D23" s="1" t="s">
        <v>642</v>
      </c>
      <c r="E23" s="1" t="s">
        <v>642</v>
      </c>
      <c r="F23" s="1" t="s">
        <v>642</v>
      </c>
      <c r="G23" s="1" t="s">
        <v>642</v>
      </c>
      <c r="H23" s="3" t="s">
        <v>642</v>
      </c>
      <c r="I23" s="2" t="s">
        <v>642</v>
      </c>
      <c r="J23" s="20" t="s">
        <v>53</v>
      </c>
      <c r="K23" s="20" t="s">
        <v>53</v>
      </c>
      <c r="L23" s="20" t="s">
        <v>53</v>
      </c>
      <c r="M23" s="20" t="s">
        <v>53</v>
      </c>
      <c r="N23" s="20" t="s">
        <v>53</v>
      </c>
      <c r="O23" s="20" t="s">
        <v>53</v>
      </c>
      <c r="P23" s="61" t="s">
        <v>53</v>
      </c>
    </row>
    <row r="25" spans="1:16" ht="30" customHeight="1">
      <c r="A25" s="93" t="s">
        <v>672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</row>
    <row r="26" spans="1:16" ht="45" customHeight="1">
      <c r="A26" s="14" t="s">
        <v>4</v>
      </c>
      <c r="B26" s="14" t="s">
        <v>673</v>
      </c>
      <c r="C26" s="14" t="s">
        <v>674</v>
      </c>
      <c r="D26" s="14" t="s">
        <v>675</v>
      </c>
      <c r="E26" s="14" t="s">
        <v>676</v>
      </c>
      <c r="F26" s="14" t="s">
        <v>677</v>
      </c>
      <c r="G26" s="14" t="s">
        <v>678</v>
      </c>
      <c r="H26" s="14" t="s">
        <v>679</v>
      </c>
      <c r="I26" s="14" t="s">
        <v>639</v>
      </c>
      <c r="J26" s="14" t="s">
        <v>140</v>
      </c>
      <c r="K26" s="14" t="s">
        <v>42</v>
      </c>
      <c r="L26" s="14" t="s">
        <v>43</v>
      </c>
      <c r="M26" s="14" t="s">
        <v>19</v>
      </c>
      <c r="N26" s="14" t="s">
        <v>44</v>
      </c>
      <c r="O26" s="14" t="s">
        <v>45</v>
      </c>
      <c r="P26" s="14" t="s">
        <v>680</v>
      </c>
    </row>
    <row r="27" spans="1:16" ht="37.5" customHeight="1">
      <c r="A27" s="15">
        <v>1</v>
      </c>
      <c r="B27" s="16" t="s">
        <v>86</v>
      </c>
      <c r="C27" s="62" t="s">
        <v>681</v>
      </c>
      <c r="D27" s="16" t="s">
        <v>682</v>
      </c>
      <c r="E27" s="63" t="s">
        <v>683</v>
      </c>
      <c r="F27" s="16" t="s">
        <v>684</v>
      </c>
      <c r="G27" s="16" t="s">
        <v>685</v>
      </c>
      <c r="H27" s="16" t="s">
        <v>686</v>
      </c>
      <c r="I27" s="56" t="s">
        <v>687</v>
      </c>
      <c r="J27" s="16" t="s">
        <v>688</v>
      </c>
      <c r="K27" s="58" t="s">
        <v>53</v>
      </c>
      <c r="L27" s="58" t="s">
        <v>53</v>
      </c>
      <c r="M27" s="58" t="s">
        <v>53</v>
      </c>
      <c r="N27" s="58" t="s">
        <v>53</v>
      </c>
      <c r="O27" s="58" t="s">
        <v>53</v>
      </c>
      <c r="P27" s="20" t="s">
        <v>238</v>
      </c>
    </row>
    <row r="28" spans="1:16" ht="37.5" customHeight="1">
      <c r="A28" s="15">
        <v>2</v>
      </c>
      <c r="B28" s="21" t="s">
        <v>86</v>
      </c>
      <c r="C28" s="64" t="s">
        <v>689</v>
      </c>
      <c r="D28" s="21" t="s">
        <v>690</v>
      </c>
      <c r="E28" s="63" t="s">
        <v>691</v>
      </c>
      <c r="F28" s="21" t="s">
        <v>692</v>
      </c>
      <c r="G28" s="21" t="s">
        <v>693</v>
      </c>
      <c r="H28" s="21" t="s">
        <v>694</v>
      </c>
      <c r="I28" s="57" t="s">
        <v>695</v>
      </c>
      <c r="J28" s="21" t="s">
        <v>696</v>
      </c>
      <c r="K28" s="58" t="s">
        <v>53</v>
      </c>
      <c r="L28" s="58" t="s">
        <v>53</v>
      </c>
      <c r="M28" s="58" t="s">
        <v>53</v>
      </c>
      <c r="N28" s="58" t="s">
        <v>53</v>
      </c>
      <c r="O28" s="58" t="s">
        <v>53</v>
      </c>
      <c r="P28" s="20" t="s">
        <v>238</v>
      </c>
    </row>
    <row r="29" spans="1:16" ht="37.5" customHeight="1">
      <c r="A29" s="15">
        <v>3</v>
      </c>
      <c r="B29" s="16" t="s">
        <v>86</v>
      </c>
      <c r="C29" s="62" t="s">
        <v>697</v>
      </c>
      <c r="D29" s="16" t="s">
        <v>698</v>
      </c>
      <c r="E29" s="63" t="s">
        <v>699</v>
      </c>
      <c r="F29" s="16" t="s">
        <v>700</v>
      </c>
      <c r="G29" s="16" t="s">
        <v>701</v>
      </c>
      <c r="H29" s="16" t="s">
        <v>702</v>
      </c>
      <c r="I29" s="56" t="s">
        <v>687</v>
      </c>
      <c r="J29" s="16" t="s">
        <v>703</v>
      </c>
      <c r="K29" s="58" t="s">
        <v>53</v>
      </c>
      <c r="L29" s="58" t="s">
        <v>53</v>
      </c>
      <c r="M29" s="58" t="s">
        <v>53</v>
      </c>
      <c r="N29" s="58" t="s">
        <v>53</v>
      </c>
      <c r="O29" s="58" t="s">
        <v>53</v>
      </c>
      <c r="P29" s="20" t="s">
        <v>238</v>
      </c>
    </row>
    <row r="30" spans="1:16" ht="37.5" customHeight="1">
      <c r="A30" s="15">
        <v>4</v>
      </c>
      <c r="B30" s="21" t="s">
        <v>86</v>
      </c>
      <c r="C30" s="64" t="s">
        <v>704</v>
      </c>
      <c r="D30" s="21" t="s">
        <v>682</v>
      </c>
      <c r="E30" s="63" t="s">
        <v>705</v>
      </c>
      <c r="F30" s="21" t="s">
        <v>706</v>
      </c>
      <c r="G30" s="21" t="s">
        <v>707</v>
      </c>
      <c r="H30" s="21" t="s">
        <v>694</v>
      </c>
      <c r="I30" s="56" t="s">
        <v>687</v>
      </c>
      <c r="J30" s="21" t="s">
        <v>708</v>
      </c>
      <c r="K30" s="58" t="s">
        <v>53</v>
      </c>
      <c r="L30" s="58" t="s">
        <v>53</v>
      </c>
      <c r="M30" s="58" t="s">
        <v>53</v>
      </c>
      <c r="N30" s="58" t="s">
        <v>53</v>
      </c>
      <c r="O30" s="58" t="s">
        <v>53</v>
      </c>
      <c r="P30" s="20" t="s">
        <v>238</v>
      </c>
    </row>
    <row r="31" spans="1:16" ht="37.5" customHeight="1">
      <c r="A31" s="15">
        <v>5</v>
      </c>
      <c r="B31" s="16" t="s">
        <v>86</v>
      </c>
      <c r="C31" s="62" t="s">
        <v>709</v>
      </c>
      <c r="D31" s="16" t="s">
        <v>698</v>
      </c>
      <c r="E31" s="63" t="s">
        <v>710</v>
      </c>
      <c r="F31" s="16" t="s">
        <v>53</v>
      </c>
      <c r="G31" s="16" t="s">
        <v>53</v>
      </c>
      <c r="H31" s="16" t="s">
        <v>702</v>
      </c>
      <c r="I31" s="18" t="s">
        <v>56</v>
      </c>
      <c r="J31" s="16" t="s">
        <v>711</v>
      </c>
      <c r="K31" s="58" t="s">
        <v>53</v>
      </c>
      <c r="L31" s="58" t="s">
        <v>53</v>
      </c>
      <c r="M31" s="58" t="s">
        <v>53</v>
      </c>
      <c r="N31" s="58" t="s">
        <v>53</v>
      </c>
      <c r="O31" s="58" t="s">
        <v>53</v>
      </c>
      <c r="P31" s="20" t="s">
        <v>238</v>
      </c>
    </row>
    <row r="32" spans="1:16" ht="37.5" customHeight="1">
      <c r="A32" s="15">
        <v>6</v>
      </c>
      <c r="B32" s="21" t="s">
        <v>86</v>
      </c>
      <c r="C32" s="64" t="s">
        <v>712</v>
      </c>
      <c r="D32" s="21" t="s">
        <v>682</v>
      </c>
      <c r="E32" s="63" t="s">
        <v>713</v>
      </c>
      <c r="F32" s="21" t="s">
        <v>714</v>
      </c>
      <c r="G32" s="21" t="s">
        <v>715</v>
      </c>
      <c r="H32" s="21" t="s">
        <v>686</v>
      </c>
      <c r="I32" s="57" t="s">
        <v>695</v>
      </c>
      <c r="J32" s="21" t="s">
        <v>716</v>
      </c>
      <c r="K32" s="58" t="s">
        <v>53</v>
      </c>
      <c r="L32" s="58" t="s">
        <v>53</v>
      </c>
      <c r="M32" s="58" t="s">
        <v>53</v>
      </c>
      <c r="N32" s="58" t="s">
        <v>53</v>
      </c>
      <c r="O32" s="58" t="s">
        <v>53</v>
      </c>
      <c r="P32" s="20" t="s">
        <v>238</v>
      </c>
    </row>
    <row r="33" spans="1:16" ht="37.5" customHeight="1">
      <c r="A33" s="15">
        <v>7</v>
      </c>
      <c r="B33" s="16" t="s">
        <v>86</v>
      </c>
      <c r="C33" s="62" t="s">
        <v>717</v>
      </c>
      <c r="D33" s="16" t="s">
        <v>698</v>
      </c>
      <c r="E33" s="63" t="s">
        <v>718</v>
      </c>
      <c r="F33" s="16" t="s">
        <v>53</v>
      </c>
      <c r="G33" s="16" t="s">
        <v>53</v>
      </c>
      <c r="H33" s="16" t="s">
        <v>702</v>
      </c>
      <c r="I33" s="18" t="s">
        <v>719</v>
      </c>
      <c r="J33" s="16" t="s">
        <v>720</v>
      </c>
      <c r="K33" s="58" t="s">
        <v>53</v>
      </c>
      <c r="L33" s="58" t="s">
        <v>53</v>
      </c>
      <c r="M33" s="58" t="s">
        <v>53</v>
      </c>
      <c r="N33" s="58" t="s">
        <v>53</v>
      </c>
      <c r="O33" s="58" t="s">
        <v>53</v>
      </c>
      <c r="P33" s="20" t="s">
        <v>238</v>
      </c>
    </row>
    <row r="34" spans="1:16" ht="37.5" customHeight="1">
      <c r="A34" s="15">
        <v>8</v>
      </c>
      <c r="B34" s="21" t="s">
        <v>86</v>
      </c>
      <c r="C34" s="64" t="s">
        <v>721</v>
      </c>
      <c r="D34" s="21" t="s">
        <v>722</v>
      </c>
      <c r="E34" s="63" t="s">
        <v>723</v>
      </c>
      <c r="F34" s="21" t="s">
        <v>53</v>
      </c>
      <c r="G34" s="21" t="s">
        <v>53</v>
      </c>
      <c r="H34" s="21" t="s">
        <v>724</v>
      </c>
      <c r="I34" s="18" t="s">
        <v>170</v>
      </c>
      <c r="J34" s="21" t="s">
        <v>725</v>
      </c>
      <c r="K34" s="58" t="s">
        <v>53</v>
      </c>
      <c r="L34" s="58" t="s">
        <v>53</v>
      </c>
      <c r="M34" s="58" t="s">
        <v>53</v>
      </c>
      <c r="N34" s="58" t="s">
        <v>53</v>
      </c>
      <c r="O34" s="58" t="s">
        <v>53</v>
      </c>
      <c r="P34" s="20" t="s">
        <v>238</v>
      </c>
    </row>
    <row r="35" spans="1:16" ht="37.5" customHeight="1">
      <c r="A35" s="15">
        <v>9</v>
      </c>
      <c r="B35" s="16" t="s">
        <v>86</v>
      </c>
      <c r="C35" s="62" t="s">
        <v>726</v>
      </c>
      <c r="D35" s="16" t="s">
        <v>690</v>
      </c>
      <c r="E35" s="63" t="s">
        <v>727</v>
      </c>
      <c r="F35" s="16" t="s">
        <v>728</v>
      </c>
      <c r="G35" s="16" t="s">
        <v>729</v>
      </c>
      <c r="H35" s="16" t="s">
        <v>694</v>
      </c>
      <c r="I35" s="56" t="s">
        <v>687</v>
      </c>
      <c r="J35" s="16" t="s">
        <v>730</v>
      </c>
      <c r="K35" s="58" t="s">
        <v>53</v>
      </c>
      <c r="L35" s="58" t="s">
        <v>53</v>
      </c>
      <c r="M35" s="58" t="s">
        <v>53</v>
      </c>
      <c r="N35" s="58" t="s">
        <v>53</v>
      </c>
      <c r="O35" s="58" t="s">
        <v>53</v>
      </c>
      <c r="P35" s="20" t="s">
        <v>238</v>
      </c>
    </row>
    <row r="36" spans="1:16" ht="37.5" customHeight="1">
      <c r="A36" s="15">
        <v>10</v>
      </c>
      <c r="B36" s="21" t="s">
        <v>86</v>
      </c>
      <c r="C36" s="64" t="s">
        <v>731</v>
      </c>
      <c r="D36" s="21" t="s">
        <v>732</v>
      </c>
      <c r="E36" s="63" t="s">
        <v>733</v>
      </c>
      <c r="F36" s="21" t="s">
        <v>734</v>
      </c>
      <c r="G36" s="21" t="s">
        <v>735</v>
      </c>
      <c r="H36" s="21" t="s">
        <v>686</v>
      </c>
      <c r="I36" s="56" t="s">
        <v>687</v>
      </c>
      <c r="J36" s="21" t="s">
        <v>716</v>
      </c>
      <c r="K36" s="58" t="s">
        <v>53</v>
      </c>
      <c r="L36" s="58" t="s">
        <v>53</v>
      </c>
      <c r="M36" s="58" t="s">
        <v>53</v>
      </c>
      <c r="N36" s="58" t="s">
        <v>53</v>
      </c>
      <c r="O36" s="58" t="s">
        <v>53</v>
      </c>
      <c r="P36" s="20" t="s">
        <v>238</v>
      </c>
    </row>
    <row r="37" spans="1:16" ht="37.5" customHeight="1">
      <c r="A37" s="15">
        <v>11</v>
      </c>
      <c r="B37" s="16" t="s">
        <v>86</v>
      </c>
      <c r="C37" s="62" t="s">
        <v>736</v>
      </c>
      <c r="D37" s="16" t="s">
        <v>737</v>
      </c>
      <c r="E37" s="63" t="s">
        <v>738</v>
      </c>
      <c r="F37" s="16" t="s">
        <v>739</v>
      </c>
      <c r="G37" s="16" t="s">
        <v>740</v>
      </c>
      <c r="H37" s="16" t="s">
        <v>741</v>
      </c>
      <c r="I37" s="56" t="s">
        <v>687</v>
      </c>
      <c r="J37" s="16" t="s">
        <v>742</v>
      </c>
      <c r="K37" s="58" t="s">
        <v>53</v>
      </c>
      <c r="L37" s="58" t="s">
        <v>53</v>
      </c>
      <c r="M37" s="58" t="s">
        <v>53</v>
      </c>
      <c r="N37" s="58" t="s">
        <v>53</v>
      </c>
      <c r="O37" s="58" t="s">
        <v>53</v>
      </c>
      <c r="P37" s="20" t="s">
        <v>238</v>
      </c>
    </row>
    <row r="38" spans="1:16" ht="37.5" customHeight="1">
      <c r="A38" s="15">
        <v>12</v>
      </c>
      <c r="B38" s="21" t="s">
        <v>86</v>
      </c>
      <c r="C38" s="64" t="s">
        <v>743</v>
      </c>
      <c r="D38" s="21" t="s">
        <v>682</v>
      </c>
      <c r="E38" s="63" t="s">
        <v>744</v>
      </c>
      <c r="F38" s="21" t="s">
        <v>745</v>
      </c>
      <c r="G38" s="21" t="s">
        <v>746</v>
      </c>
      <c r="H38" s="21" t="s">
        <v>686</v>
      </c>
      <c r="I38" s="56" t="s">
        <v>687</v>
      </c>
      <c r="J38" s="21" t="s">
        <v>747</v>
      </c>
      <c r="K38" s="58" t="s">
        <v>53</v>
      </c>
      <c r="L38" s="58" t="s">
        <v>53</v>
      </c>
      <c r="M38" s="58" t="s">
        <v>53</v>
      </c>
      <c r="N38" s="58" t="s">
        <v>53</v>
      </c>
      <c r="O38" s="58" t="s">
        <v>53</v>
      </c>
      <c r="P38" s="20" t="s">
        <v>238</v>
      </c>
    </row>
    <row r="40" spans="1:16" ht="30" customHeight="1">
      <c r="A40" s="133" t="s">
        <v>748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</row>
    <row r="41" spans="1:16" ht="45" customHeight="1">
      <c r="A41" s="14" t="s">
        <v>4</v>
      </c>
      <c r="B41" s="14" t="s">
        <v>749</v>
      </c>
      <c r="C41" s="14" t="s">
        <v>750</v>
      </c>
      <c r="D41" s="14" t="s">
        <v>751</v>
      </c>
      <c r="E41" s="14" t="s">
        <v>42</v>
      </c>
      <c r="F41" s="14" t="s">
        <v>43</v>
      </c>
      <c r="G41" s="14" t="s">
        <v>19</v>
      </c>
      <c r="H41" s="14" t="s">
        <v>44</v>
      </c>
      <c r="I41" s="14" t="s">
        <v>45</v>
      </c>
      <c r="J41" s="14" t="s">
        <v>46</v>
      </c>
      <c r="K41" s="14" t="s">
        <v>752</v>
      </c>
      <c r="L41" s="14" t="s">
        <v>753</v>
      </c>
      <c r="M41" s="14" t="s">
        <v>754</v>
      </c>
      <c r="N41" s="14" t="s">
        <v>755</v>
      </c>
      <c r="O41" s="14" t="s">
        <v>756</v>
      </c>
      <c r="P41" s="14" t="s">
        <v>757</v>
      </c>
    </row>
    <row r="42" spans="1:16" ht="94.5" customHeight="1">
      <c r="A42" s="65">
        <v>1</v>
      </c>
      <c r="B42" s="62" t="s">
        <v>758</v>
      </c>
      <c r="C42" s="66" t="s">
        <v>759</v>
      </c>
      <c r="D42" s="17" t="s">
        <v>760</v>
      </c>
      <c r="E42" s="18" t="s">
        <v>257</v>
      </c>
      <c r="F42" s="18" t="s">
        <v>257</v>
      </c>
      <c r="G42" s="18" t="s">
        <v>257</v>
      </c>
      <c r="H42" s="18" t="s">
        <v>257</v>
      </c>
      <c r="I42" s="18" t="s">
        <v>257</v>
      </c>
      <c r="J42" s="18" t="s">
        <v>257</v>
      </c>
      <c r="K42" s="16" t="str">
        <f t="shared" ref="K42:K51" si="0">(IF(E42="شراء",1,0)+IF(F42="شراء",1,0)+IF(G42="شراء",1,0)+IF(H42="شراء",1,0)+IF(I42="شراء",1,0)+IF(J42="شراء",1,0))&amp;" شراء  •  "&amp;(IF(E42="بيع",1,0)+IF(F42="بيع",1,0)+IF(G42="بيع",1,0)+IF(H42="بيع",1,0)+IF(I42="بيع",1,0)+IF(J42="بيع",1,0))&amp;" بيع  •  "&amp;(IF(E42="محايد",1,0)+IF(F42="محايد",1,0)+IF(G42="محايد",1,0)+IF(H42="محايد",1,0)+IF(I42="محايد",1,0)+IF(J42="محايد",1,0))&amp;" محايد"</f>
        <v>0 شراء  •  0 بيع  •  6 محايد</v>
      </c>
      <c r="L42" s="67">
        <f t="shared" ref="L42:L51" si="1">((IF(E42="شراء",1,IF(E42="بيع",-1,0))*5)+(IF(F42="شراء",1,IF(F42="بيع",-1,0))*10)+(IF(G42="شراء",1,IF(G42="بيع",-1,0))*20)+(IF(H42="شراء",1,IF(H42="بيع",-1,0))*18)+(IF(I42="شراء",1,IF(I42="بيع",-1,0))*22)+(IF(J42="شراء",1,IF(J42="بيع",-1,0))*25))/100</f>
        <v>0</v>
      </c>
      <c r="M42" s="29">
        <v>1.7647058823529401E-2</v>
      </c>
      <c r="N42" s="30">
        <f t="shared" ref="N42:N51" si="2">ABS(L42)</f>
        <v>0</v>
      </c>
      <c r="O42" s="68" t="str">
        <f t="shared" ref="O42:O51" si="3">IF(L42&gt;0.005,"شراء",IF(L42&lt;-0.005,"بيع","محايد"))</f>
        <v>محايد</v>
      </c>
      <c r="P42" s="32" t="s">
        <v>761</v>
      </c>
    </row>
    <row r="43" spans="1:16" ht="94.5" customHeight="1">
      <c r="A43" s="65">
        <v>2</v>
      </c>
      <c r="B43" s="64" t="s">
        <v>762</v>
      </c>
      <c r="C43" s="66" t="s">
        <v>759</v>
      </c>
      <c r="D43" s="22" t="s">
        <v>763</v>
      </c>
      <c r="E43" s="18" t="s">
        <v>257</v>
      </c>
      <c r="F43" s="18" t="s">
        <v>257</v>
      </c>
      <c r="G43" s="18" t="s">
        <v>257</v>
      </c>
      <c r="H43" s="18" t="s">
        <v>257</v>
      </c>
      <c r="I43" s="18" t="s">
        <v>257</v>
      </c>
      <c r="J43" s="18" t="s">
        <v>257</v>
      </c>
      <c r="K43" s="21" t="str">
        <f t="shared" si="0"/>
        <v>0 شراء  •  0 بيع  •  6 محايد</v>
      </c>
      <c r="L43" s="69">
        <f t="shared" si="1"/>
        <v>0</v>
      </c>
      <c r="M43" s="29">
        <v>1.7647058823529401E-2</v>
      </c>
      <c r="N43" s="34">
        <f t="shared" si="2"/>
        <v>0</v>
      </c>
      <c r="O43" s="68" t="str">
        <f t="shared" si="3"/>
        <v>محايد</v>
      </c>
      <c r="P43" s="32" t="s">
        <v>764</v>
      </c>
    </row>
    <row r="44" spans="1:16" ht="94.5" customHeight="1">
      <c r="A44" s="65">
        <v>3</v>
      </c>
      <c r="B44" s="62" t="s">
        <v>765</v>
      </c>
      <c r="C44" s="66" t="s">
        <v>759</v>
      </c>
      <c r="D44" s="17" t="s">
        <v>766</v>
      </c>
      <c r="E44" s="18" t="s">
        <v>257</v>
      </c>
      <c r="F44" s="18" t="s">
        <v>257</v>
      </c>
      <c r="G44" s="18" t="s">
        <v>257</v>
      </c>
      <c r="H44" s="18" t="s">
        <v>257</v>
      </c>
      <c r="I44" s="18" t="s">
        <v>257</v>
      </c>
      <c r="J44" s="18" t="s">
        <v>257</v>
      </c>
      <c r="K44" s="16" t="str">
        <f t="shared" si="0"/>
        <v>0 شراء  •  0 بيع  •  6 محايد</v>
      </c>
      <c r="L44" s="67">
        <f t="shared" si="1"/>
        <v>0</v>
      </c>
      <c r="M44" s="29">
        <v>1.7647058823529401E-2</v>
      </c>
      <c r="N44" s="30">
        <f t="shared" si="2"/>
        <v>0</v>
      </c>
      <c r="O44" s="68" t="str">
        <f t="shared" si="3"/>
        <v>محايد</v>
      </c>
      <c r="P44" s="32" t="s">
        <v>767</v>
      </c>
    </row>
    <row r="45" spans="1:16" ht="94.5" customHeight="1">
      <c r="A45" s="65">
        <v>4</v>
      </c>
      <c r="B45" s="64" t="s">
        <v>768</v>
      </c>
      <c r="C45" s="70" t="s">
        <v>769</v>
      </c>
      <c r="D45" s="22" t="s">
        <v>770</v>
      </c>
      <c r="E45" s="18" t="s">
        <v>257</v>
      </c>
      <c r="F45" s="18" t="s">
        <v>257</v>
      </c>
      <c r="G45" s="18" t="s">
        <v>257</v>
      </c>
      <c r="H45" s="18" t="s">
        <v>257</v>
      </c>
      <c r="I45" s="18" t="s">
        <v>257</v>
      </c>
      <c r="J45" s="18" t="s">
        <v>257</v>
      </c>
      <c r="K45" s="21" t="str">
        <f t="shared" si="0"/>
        <v>0 شراء  •  0 بيع  •  6 محايد</v>
      </c>
      <c r="L45" s="69">
        <f t="shared" si="1"/>
        <v>0</v>
      </c>
      <c r="M45" s="29">
        <v>1.32352941176471E-2</v>
      </c>
      <c r="N45" s="34">
        <f t="shared" si="2"/>
        <v>0</v>
      </c>
      <c r="O45" s="68" t="str">
        <f t="shared" si="3"/>
        <v>محايد</v>
      </c>
      <c r="P45" s="32" t="s">
        <v>771</v>
      </c>
    </row>
    <row r="46" spans="1:16" ht="94.5" customHeight="1">
      <c r="A46" s="65">
        <v>5</v>
      </c>
      <c r="B46" s="62" t="s">
        <v>772</v>
      </c>
      <c r="C46" s="66" t="s">
        <v>759</v>
      </c>
      <c r="D46" s="17" t="s">
        <v>773</v>
      </c>
      <c r="E46" s="18" t="s">
        <v>257</v>
      </c>
      <c r="F46" s="18" t="s">
        <v>257</v>
      </c>
      <c r="G46" s="18" t="s">
        <v>257</v>
      </c>
      <c r="H46" s="18" t="s">
        <v>257</v>
      </c>
      <c r="I46" s="18" t="s">
        <v>257</v>
      </c>
      <c r="J46" s="18" t="s">
        <v>257</v>
      </c>
      <c r="K46" s="16" t="str">
        <f t="shared" si="0"/>
        <v>0 شراء  •  0 بيع  •  6 محايد</v>
      </c>
      <c r="L46" s="67">
        <f t="shared" si="1"/>
        <v>0</v>
      </c>
      <c r="M46" s="29">
        <v>1.7647058823529401E-2</v>
      </c>
      <c r="N46" s="30">
        <f t="shared" si="2"/>
        <v>0</v>
      </c>
      <c r="O46" s="68" t="str">
        <f t="shared" si="3"/>
        <v>محايد</v>
      </c>
      <c r="P46" s="32" t="s">
        <v>774</v>
      </c>
    </row>
    <row r="47" spans="1:16" ht="94.5" customHeight="1">
      <c r="A47" s="65">
        <v>6</v>
      </c>
      <c r="B47" s="64" t="s">
        <v>775</v>
      </c>
      <c r="C47" s="66" t="s">
        <v>759</v>
      </c>
      <c r="D47" s="22" t="s">
        <v>776</v>
      </c>
      <c r="E47" s="18" t="s">
        <v>257</v>
      </c>
      <c r="F47" s="18" t="s">
        <v>257</v>
      </c>
      <c r="G47" s="18" t="s">
        <v>257</v>
      </c>
      <c r="H47" s="18" t="s">
        <v>257</v>
      </c>
      <c r="I47" s="18" t="s">
        <v>257</v>
      </c>
      <c r="J47" s="18" t="s">
        <v>257</v>
      </c>
      <c r="K47" s="21" t="str">
        <f t="shared" si="0"/>
        <v>0 شراء  •  0 بيع  •  6 محايد</v>
      </c>
      <c r="L47" s="69">
        <f t="shared" si="1"/>
        <v>0</v>
      </c>
      <c r="M47" s="29">
        <v>1.7647058823529401E-2</v>
      </c>
      <c r="N47" s="34">
        <f t="shared" si="2"/>
        <v>0</v>
      </c>
      <c r="O47" s="68" t="str">
        <f t="shared" si="3"/>
        <v>محايد</v>
      </c>
      <c r="P47" s="32" t="s">
        <v>777</v>
      </c>
    </row>
    <row r="48" spans="1:16" ht="94.5" customHeight="1">
      <c r="A48" s="65">
        <v>7</v>
      </c>
      <c r="B48" s="62" t="s">
        <v>778</v>
      </c>
      <c r="C48" s="70" t="s">
        <v>769</v>
      </c>
      <c r="D48" s="17" t="s">
        <v>779</v>
      </c>
      <c r="E48" s="18" t="s">
        <v>257</v>
      </c>
      <c r="F48" s="18" t="s">
        <v>257</v>
      </c>
      <c r="G48" s="18" t="s">
        <v>257</v>
      </c>
      <c r="H48" s="18" t="s">
        <v>257</v>
      </c>
      <c r="I48" s="18" t="s">
        <v>257</v>
      </c>
      <c r="J48" s="18" t="s">
        <v>257</v>
      </c>
      <c r="K48" s="16" t="str">
        <f t="shared" si="0"/>
        <v>0 شراء  •  0 بيع  •  6 محايد</v>
      </c>
      <c r="L48" s="67">
        <f t="shared" si="1"/>
        <v>0</v>
      </c>
      <c r="M48" s="29">
        <v>1.32352941176471E-2</v>
      </c>
      <c r="N48" s="30">
        <f t="shared" si="2"/>
        <v>0</v>
      </c>
      <c r="O48" s="68" t="str">
        <f t="shared" si="3"/>
        <v>محايد</v>
      </c>
      <c r="P48" s="32" t="s">
        <v>780</v>
      </c>
    </row>
    <row r="49" spans="1:16" ht="94.5" customHeight="1">
      <c r="A49" s="65">
        <v>8</v>
      </c>
      <c r="B49" s="64" t="s">
        <v>781</v>
      </c>
      <c r="C49" s="70" t="s">
        <v>769</v>
      </c>
      <c r="D49" s="22" t="s">
        <v>782</v>
      </c>
      <c r="E49" s="18" t="s">
        <v>257</v>
      </c>
      <c r="F49" s="18" t="s">
        <v>257</v>
      </c>
      <c r="G49" s="18" t="s">
        <v>257</v>
      </c>
      <c r="H49" s="18" t="s">
        <v>257</v>
      </c>
      <c r="I49" s="18" t="s">
        <v>257</v>
      </c>
      <c r="J49" s="18" t="s">
        <v>257</v>
      </c>
      <c r="K49" s="21" t="str">
        <f t="shared" si="0"/>
        <v>0 شراء  •  0 بيع  •  6 محايد</v>
      </c>
      <c r="L49" s="69">
        <f t="shared" si="1"/>
        <v>0</v>
      </c>
      <c r="M49" s="29">
        <v>1.32352941176471E-2</v>
      </c>
      <c r="N49" s="34">
        <f t="shared" si="2"/>
        <v>0</v>
      </c>
      <c r="O49" s="68" t="str">
        <f t="shared" si="3"/>
        <v>محايد</v>
      </c>
      <c r="P49" s="32" t="s">
        <v>783</v>
      </c>
    </row>
    <row r="50" spans="1:16" ht="94.5" customHeight="1">
      <c r="A50" s="65">
        <v>9</v>
      </c>
      <c r="B50" s="62" t="s">
        <v>784</v>
      </c>
      <c r="C50" s="71" t="s">
        <v>785</v>
      </c>
      <c r="D50" s="17" t="s">
        <v>786</v>
      </c>
      <c r="E50" s="18" t="s">
        <v>257</v>
      </c>
      <c r="F50" s="18" t="s">
        <v>257</v>
      </c>
      <c r="G50" s="18" t="s">
        <v>257</v>
      </c>
      <c r="H50" s="18" t="s">
        <v>257</v>
      </c>
      <c r="I50" s="18" t="s">
        <v>257</v>
      </c>
      <c r="J50" s="18" t="s">
        <v>257</v>
      </c>
      <c r="K50" s="16" t="str">
        <f t="shared" si="0"/>
        <v>0 شراء  •  0 بيع  •  6 محايد</v>
      </c>
      <c r="L50" s="67">
        <f t="shared" si="1"/>
        <v>0</v>
      </c>
      <c r="M50" s="29">
        <v>8.8235294117647092E-3</v>
      </c>
      <c r="N50" s="30">
        <f t="shared" si="2"/>
        <v>0</v>
      </c>
      <c r="O50" s="68" t="str">
        <f t="shared" si="3"/>
        <v>محايد</v>
      </c>
      <c r="P50" s="32" t="s">
        <v>787</v>
      </c>
    </row>
    <row r="51" spans="1:16" ht="94.5" customHeight="1">
      <c r="A51" s="65">
        <v>10</v>
      </c>
      <c r="B51" s="64" t="s">
        <v>788</v>
      </c>
      <c r="C51" s="70" t="s">
        <v>769</v>
      </c>
      <c r="D51" s="22" t="s">
        <v>789</v>
      </c>
      <c r="E51" s="18" t="s">
        <v>257</v>
      </c>
      <c r="F51" s="18" t="s">
        <v>257</v>
      </c>
      <c r="G51" s="18" t="s">
        <v>257</v>
      </c>
      <c r="H51" s="18" t="s">
        <v>257</v>
      </c>
      <c r="I51" s="18" t="s">
        <v>257</v>
      </c>
      <c r="J51" s="18" t="s">
        <v>257</v>
      </c>
      <c r="K51" s="21" t="str">
        <f t="shared" si="0"/>
        <v>0 شراء  •  0 بيع  •  6 محايد</v>
      </c>
      <c r="L51" s="69">
        <f t="shared" si="1"/>
        <v>0</v>
      </c>
      <c r="M51" s="29">
        <v>1.32352941176471E-2</v>
      </c>
      <c r="N51" s="34">
        <f t="shared" si="2"/>
        <v>0</v>
      </c>
      <c r="O51" s="68" t="str">
        <f t="shared" si="3"/>
        <v>محايد</v>
      </c>
      <c r="P51" s="32" t="s">
        <v>790</v>
      </c>
    </row>
    <row r="53" spans="1:16" ht="31.5" customHeight="1">
      <c r="A53" s="95" t="s">
        <v>791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</row>
    <row r="54" spans="1:16" ht="25.5" customHeight="1">
      <c r="A54" s="109" t="s">
        <v>330</v>
      </c>
      <c r="B54" s="109"/>
      <c r="C54" s="109"/>
      <c r="D54" s="109"/>
      <c r="E54" s="6" t="s">
        <v>42</v>
      </c>
      <c r="F54" s="6" t="s">
        <v>43</v>
      </c>
      <c r="G54" s="6" t="s">
        <v>19</v>
      </c>
      <c r="H54" s="6" t="s">
        <v>44</v>
      </c>
      <c r="I54" s="6" t="s">
        <v>45</v>
      </c>
      <c r="J54" s="6" t="s">
        <v>46</v>
      </c>
    </row>
    <row r="55" spans="1:16" ht="25.5" customHeight="1">
      <c r="A55" s="110" t="s">
        <v>331</v>
      </c>
      <c r="B55" s="110"/>
      <c r="C55" s="110"/>
      <c r="D55" s="110"/>
      <c r="E55" s="44">
        <f>SUMPRODUCT((E42:E51="شراء")*(M42:M51))</f>
        <v>0</v>
      </c>
      <c r="F55" s="44">
        <f>SUMPRODUCT((F42:F51="شراء")*(M42:M51))</f>
        <v>0</v>
      </c>
      <c r="G55" s="44">
        <f>SUMPRODUCT((G42:G51="شراء")*(M42:M51))</f>
        <v>0</v>
      </c>
      <c r="H55" s="44">
        <f>SUMPRODUCT((H42:H51="شراء")*(M42:M51))</f>
        <v>0</v>
      </c>
      <c r="I55" s="44">
        <f>SUMPRODUCT((I42:I51="شراء")*(M42:M51))</f>
        <v>0</v>
      </c>
      <c r="J55" s="44">
        <f>SUMPRODUCT((J42:J51="شراء")*(M42:M51))</f>
        <v>0</v>
      </c>
    </row>
    <row r="56" spans="1:16" ht="25.5" customHeight="1">
      <c r="A56" s="111" t="s">
        <v>332</v>
      </c>
      <c r="B56" s="111"/>
      <c r="C56" s="111"/>
      <c r="D56" s="111"/>
      <c r="E56" s="45">
        <f>SUMPRODUCT((E42:E51="بيع")*(M42:M51))</f>
        <v>0</v>
      </c>
      <c r="F56" s="45">
        <f>SUMPRODUCT((F42:F51="بيع")*(M42:M51))</f>
        <v>0</v>
      </c>
      <c r="G56" s="45">
        <f>SUMPRODUCT((G42:G51="بيع")*(M42:M51))</f>
        <v>0</v>
      </c>
      <c r="H56" s="45">
        <f>SUMPRODUCT((H42:H51="بيع")*(M42:M51))</f>
        <v>0</v>
      </c>
      <c r="I56" s="45">
        <f>SUMPRODUCT((I42:I51="بيع")*(M42:M51))</f>
        <v>0</v>
      </c>
      <c r="J56" s="45">
        <f>SUMPRODUCT((J42:J51="بيع")*(M42:M51))</f>
        <v>0</v>
      </c>
    </row>
    <row r="57" spans="1:16" ht="25.5" customHeight="1">
      <c r="A57" s="112" t="s">
        <v>333</v>
      </c>
      <c r="B57" s="112"/>
      <c r="C57" s="112"/>
      <c r="D57" s="112"/>
      <c r="E57" s="46">
        <f t="shared" ref="E57:J57" si="4">E55-E56</f>
        <v>0</v>
      </c>
      <c r="F57" s="46">
        <f t="shared" si="4"/>
        <v>0</v>
      </c>
      <c r="G57" s="46">
        <f t="shared" si="4"/>
        <v>0</v>
      </c>
      <c r="H57" s="46">
        <f t="shared" si="4"/>
        <v>0</v>
      </c>
      <c r="I57" s="46">
        <f t="shared" si="4"/>
        <v>0</v>
      </c>
      <c r="J57" s="46">
        <f t="shared" si="4"/>
        <v>0</v>
      </c>
    </row>
    <row r="58" spans="1:16" ht="25.5" customHeight="1">
      <c r="A58" s="90" t="s">
        <v>334</v>
      </c>
      <c r="B58" s="90"/>
      <c r="C58" s="90"/>
      <c r="D58" s="90"/>
      <c r="E58" s="47" t="str">
        <f t="shared" ref="E58:J58" si="5">IF(E57&gt;0.005,"شراء 🟢",IF(E57&lt;-0.005,"بيع 🔴","محايد ⚪"))</f>
        <v>محايد ⚪</v>
      </c>
      <c r="F58" s="47" t="str">
        <f t="shared" si="5"/>
        <v>محايد ⚪</v>
      </c>
      <c r="G58" s="47" t="str">
        <f t="shared" si="5"/>
        <v>محايد ⚪</v>
      </c>
      <c r="H58" s="47" t="str">
        <f t="shared" si="5"/>
        <v>محايد ⚪</v>
      </c>
      <c r="I58" s="47" t="str">
        <f t="shared" si="5"/>
        <v>محايد ⚪</v>
      </c>
      <c r="J58" s="47" t="str">
        <f t="shared" si="5"/>
        <v>محايد ⚪</v>
      </c>
    </row>
    <row r="59" spans="1:16" ht="25.5" customHeight="1">
      <c r="A59" s="89" t="s">
        <v>250</v>
      </c>
      <c r="B59" s="89"/>
      <c r="C59" s="89"/>
      <c r="D59" s="89"/>
      <c r="E59" s="48">
        <f>IFERROR(ABS(E57)/SUM(M42:M51),0)</f>
        <v>0</v>
      </c>
      <c r="F59" s="48">
        <f>IFERROR(ABS(F57)/SUM(M42:M51),0)</f>
        <v>0</v>
      </c>
      <c r="G59" s="48">
        <f>IFERROR(ABS(G57)/SUM(M42:M51),0)</f>
        <v>0</v>
      </c>
      <c r="H59" s="48">
        <f>IFERROR(ABS(H57)/SUM(M42:M51),0)</f>
        <v>0</v>
      </c>
      <c r="I59" s="48">
        <f>IFERROR(ABS(I57)/SUM(M42:M51),0)</f>
        <v>0</v>
      </c>
      <c r="J59" s="48">
        <f>IFERROR(ABS(J57)/SUM(M42:M51),0)</f>
        <v>0</v>
      </c>
    </row>
  </sheetData>
  <mergeCells count="15">
    <mergeCell ref="A1:P1"/>
    <mergeCell ref="A2:P2"/>
    <mergeCell ref="A3:P3"/>
    <mergeCell ref="A4:P4"/>
    <mergeCell ref="A6:P6"/>
    <mergeCell ref="A23:C23"/>
    <mergeCell ref="A25:P25"/>
    <mergeCell ref="A40:P40"/>
    <mergeCell ref="A53:P53"/>
    <mergeCell ref="A54:D54"/>
    <mergeCell ref="A55:D55"/>
    <mergeCell ref="A56:D56"/>
    <mergeCell ref="A57:D57"/>
    <mergeCell ref="A58:D58"/>
    <mergeCell ref="A59:D59"/>
  </mergeCells>
  <conditionalFormatting sqref="E42:J51">
    <cfRule type="cellIs" dxfId="3" priority="2" operator="equal">
      <formula>"شراء"</formula>
    </cfRule>
    <cfRule type="cellIs" dxfId="2" priority="3" operator="equal">
      <formula>"بيع"</formula>
    </cfRule>
  </conditionalFormatting>
  <conditionalFormatting sqref="O42:O51">
    <cfRule type="cellIs" dxfId="1" priority="4" operator="equal">
      <formula>"شراء"</formula>
    </cfRule>
    <cfRule type="cellIs" dxfId="0" priority="5" operator="equal">
      <formula>"بيع"</formula>
    </cfRule>
  </conditionalFormatting>
  <dataValidations count="1">
    <dataValidation type="list" allowBlank="1" sqref="E42:J51" xr:uid="{00000000-0002-0000-0500-000000000000}">
      <formula1>"شراء,بيع,محايد"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7"/>
  <sheetViews>
    <sheetView showGridLines="0" rightToLeft="1" topLeftCell="A6" zoomScaleNormal="100" workbookViewId="0">
      <selection sqref="A1:L1"/>
    </sheetView>
  </sheetViews>
  <sheetFormatPr baseColWidth="10" defaultColWidth="8.6640625" defaultRowHeight="15"/>
  <cols>
    <col min="1" max="1" width="4" customWidth="1"/>
    <col min="2" max="2" width="42" customWidth="1"/>
    <col min="3" max="3" width="14" customWidth="1"/>
    <col min="4" max="4" width="18" customWidth="1"/>
    <col min="5" max="11" width="11" customWidth="1"/>
    <col min="12" max="12" width="18" customWidth="1"/>
  </cols>
  <sheetData>
    <row r="1" spans="1:12" ht="49.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ht="25.5" customHeight="1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30" customHeight="1">
      <c r="A3" s="82" t="s">
        <v>792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2" ht="24.75" customHeight="1">
      <c r="A4" s="83" t="s">
        <v>793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6" spans="1:12" ht="39.75" customHeight="1">
      <c r="A6" s="72" t="s">
        <v>4</v>
      </c>
      <c r="B6" s="72" t="s">
        <v>794</v>
      </c>
      <c r="C6" s="72" t="s">
        <v>795</v>
      </c>
      <c r="D6" s="72" t="s">
        <v>796</v>
      </c>
      <c r="E6" s="72" t="s">
        <v>42</v>
      </c>
      <c r="F6" s="72" t="s">
        <v>43</v>
      </c>
      <c r="G6" s="72" t="s">
        <v>19</v>
      </c>
      <c r="H6" s="72" t="s">
        <v>44</v>
      </c>
      <c r="I6" s="72" t="s">
        <v>45</v>
      </c>
      <c r="J6" s="72" t="s">
        <v>46</v>
      </c>
      <c r="K6" s="72" t="s">
        <v>797</v>
      </c>
      <c r="L6" s="72" t="s">
        <v>798</v>
      </c>
    </row>
    <row r="7" spans="1:12" ht="45" customHeight="1">
      <c r="A7" s="8">
        <v>1</v>
      </c>
      <c r="B7" s="9" t="s">
        <v>799</v>
      </c>
      <c r="C7" s="5" t="s">
        <v>800</v>
      </c>
      <c r="D7" s="23" t="s">
        <v>801</v>
      </c>
      <c r="E7" s="18" t="s">
        <v>56</v>
      </c>
      <c r="F7" s="18" t="s">
        <v>56</v>
      </c>
      <c r="G7" s="18" t="s">
        <v>56</v>
      </c>
      <c r="H7" s="18" t="s">
        <v>56</v>
      </c>
      <c r="I7" s="18" t="s">
        <v>56</v>
      </c>
      <c r="J7" s="18" t="s">
        <v>56</v>
      </c>
      <c r="K7" s="18" t="s">
        <v>56</v>
      </c>
      <c r="L7" s="73" t="s">
        <v>56</v>
      </c>
    </row>
    <row r="8" spans="1:12" ht="45" customHeight="1">
      <c r="A8" s="8">
        <v>2</v>
      </c>
      <c r="B8" s="74" t="s">
        <v>802</v>
      </c>
      <c r="C8" s="5" t="s">
        <v>803</v>
      </c>
      <c r="D8" s="23" t="s">
        <v>804</v>
      </c>
      <c r="E8" s="18" t="s">
        <v>56</v>
      </c>
      <c r="F8" s="18" t="s">
        <v>56</v>
      </c>
      <c r="G8" s="18" t="s">
        <v>56</v>
      </c>
      <c r="H8" s="18" t="s">
        <v>56</v>
      </c>
      <c r="I8" s="18" t="s">
        <v>56</v>
      </c>
      <c r="J8" s="18" t="s">
        <v>56</v>
      </c>
      <c r="K8" s="18" t="s">
        <v>56</v>
      </c>
      <c r="L8" s="73" t="s">
        <v>56</v>
      </c>
    </row>
    <row r="9" spans="1:12" ht="45" customHeight="1">
      <c r="A9" s="8">
        <v>3</v>
      </c>
      <c r="B9" s="9" t="s">
        <v>805</v>
      </c>
      <c r="C9" s="5" t="s">
        <v>806</v>
      </c>
      <c r="D9" s="23" t="s">
        <v>807</v>
      </c>
      <c r="E9" s="18" t="s">
        <v>56</v>
      </c>
      <c r="F9" s="18" t="s">
        <v>56</v>
      </c>
      <c r="G9" s="18" t="s">
        <v>56</v>
      </c>
      <c r="H9" s="18" t="s">
        <v>56</v>
      </c>
      <c r="I9" s="18" t="s">
        <v>56</v>
      </c>
      <c r="J9" s="18" t="s">
        <v>56</v>
      </c>
      <c r="K9" s="18" t="s">
        <v>56</v>
      </c>
      <c r="L9" s="73" t="s">
        <v>56</v>
      </c>
    </row>
    <row r="10" spans="1:12" ht="45" customHeight="1">
      <c r="A10" s="8">
        <v>4</v>
      </c>
      <c r="B10" s="74" t="s">
        <v>808</v>
      </c>
      <c r="C10" s="5" t="s">
        <v>809</v>
      </c>
      <c r="D10" s="23" t="s">
        <v>810</v>
      </c>
      <c r="E10" s="18" t="s">
        <v>56</v>
      </c>
      <c r="F10" s="18" t="s">
        <v>56</v>
      </c>
      <c r="G10" s="18" t="s">
        <v>56</v>
      </c>
      <c r="H10" s="18" t="s">
        <v>56</v>
      </c>
      <c r="I10" s="18" t="s">
        <v>56</v>
      </c>
      <c r="J10" s="18" t="s">
        <v>56</v>
      </c>
      <c r="K10" s="18" t="s">
        <v>56</v>
      </c>
      <c r="L10" s="73" t="s">
        <v>56</v>
      </c>
    </row>
    <row r="11" spans="1:12" ht="45" customHeight="1">
      <c r="A11" s="8">
        <v>5</v>
      </c>
      <c r="B11" s="9" t="s">
        <v>811</v>
      </c>
      <c r="C11" s="5" t="s">
        <v>812</v>
      </c>
      <c r="D11" s="23" t="s">
        <v>813</v>
      </c>
      <c r="E11" s="18" t="s">
        <v>56</v>
      </c>
      <c r="F11" s="18" t="s">
        <v>56</v>
      </c>
      <c r="G11" s="18" t="s">
        <v>56</v>
      </c>
      <c r="H11" s="18" t="s">
        <v>56</v>
      </c>
      <c r="I11" s="18" t="s">
        <v>56</v>
      </c>
      <c r="J11" s="18" t="s">
        <v>56</v>
      </c>
      <c r="K11" s="18" t="s">
        <v>56</v>
      </c>
      <c r="L11" s="73" t="s">
        <v>56</v>
      </c>
    </row>
    <row r="12" spans="1:12" ht="36" customHeight="1">
      <c r="A12" s="138" t="s">
        <v>814</v>
      </c>
      <c r="B12" s="138"/>
      <c r="C12" s="5" t="s">
        <v>815</v>
      </c>
      <c r="D12" s="23" t="s">
        <v>816</v>
      </c>
      <c r="E12" s="23" t="s">
        <v>817</v>
      </c>
      <c r="F12" s="23" t="s">
        <v>817</v>
      </c>
      <c r="G12" s="23" t="s">
        <v>817</v>
      </c>
      <c r="H12" s="23" t="s">
        <v>817</v>
      </c>
      <c r="I12" s="23" t="s">
        <v>817</v>
      </c>
      <c r="J12" s="23" t="s">
        <v>817</v>
      </c>
      <c r="K12" s="23" t="s">
        <v>817</v>
      </c>
      <c r="L12" s="61" t="s">
        <v>817</v>
      </c>
    </row>
    <row r="14" spans="1:12" ht="49.5" customHeight="1">
      <c r="A14" s="134" t="s">
        <v>818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ht="60" customHeight="1">
      <c r="A15" s="135" t="s">
        <v>819</v>
      </c>
      <c r="B15" s="135"/>
      <c r="C15" s="135"/>
      <c r="D15" s="135"/>
      <c r="E15" s="135"/>
      <c r="F15" s="135"/>
      <c r="G15" s="136" t="s">
        <v>820</v>
      </c>
      <c r="H15" s="136"/>
      <c r="I15" s="136"/>
      <c r="J15" s="136"/>
      <c r="K15" s="136"/>
      <c r="L15" s="136"/>
    </row>
    <row r="16" spans="1:12" ht="34.5" customHeight="1">
      <c r="A16" s="137" t="s">
        <v>821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</row>
    <row r="17" spans="1:12" ht="34.5" customHeight="1">
      <c r="A17" s="84" t="s">
        <v>822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</row>
  </sheetData>
  <mergeCells count="10">
    <mergeCell ref="A1:L1"/>
    <mergeCell ref="A2:L2"/>
    <mergeCell ref="A3:L3"/>
    <mergeCell ref="A4:L4"/>
    <mergeCell ref="A12:B12"/>
    <mergeCell ref="A14:L14"/>
    <mergeCell ref="A15:F15"/>
    <mergeCell ref="G15:L15"/>
    <mergeCell ref="A16:L16"/>
    <mergeCell ref="A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showGridLines="0" rightToLeft="1" topLeftCell="A9" zoomScaleNormal="100" workbookViewId="0">
      <selection sqref="A1:E1"/>
    </sheetView>
  </sheetViews>
  <sheetFormatPr baseColWidth="10" defaultColWidth="8.6640625" defaultRowHeight="15"/>
  <cols>
    <col min="1" max="1" width="4" customWidth="1"/>
    <col min="2" max="2" width="45" customWidth="1"/>
    <col min="3" max="3" width="22" customWidth="1"/>
    <col min="4" max="4" width="38" customWidth="1"/>
    <col min="5" max="5" width="32" customWidth="1"/>
  </cols>
  <sheetData>
    <row r="1" spans="1:5" ht="49.5" customHeight="1">
      <c r="A1" s="80" t="s">
        <v>0</v>
      </c>
      <c r="B1" s="80"/>
      <c r="C1" s="80"/>
      <c r="D1" s="80"/>
      <c r="E1" s="80"/>
    </row>
    <row r="2" spans="1:5" ht="25.5" customHeight="1">
      <c r="A2" s="81" t="s">
        <v>1</v>
      </c>
      <c r="B2" s="81"/>
      <c r="C2" s="81"/>
      <c r="D2" s="81"/>
      <c r="E2" s="81"/>
    </row>
    <row r="3" spans="1:5" ht="30" customHeight="1">
      <c r="A3" s="82" t="s">
        <v>823</v>
      </c>
      <c r="B3" s="82"/>
      <c r="C3" s="82"/>
      <c r="D3" s="82"/>
      <c r="E3" s="82"/>
    </row>
    <row r="4" spans="1:5" ht="24.75" customHeight="1">
      <c r="A4" s="83" t="s">
        <v>824</v>
      </c>
      <c r="B4" s="83"/>
      <c r="C4" s="83"/>
      <c r="D4" s="83"/>
      <c r="E4" s="83"/>
    </row>
    <row r="6" spans="1:5" ht="36" customHeight="1">
      <c r="A6" s="7" t="s">
        <v>4</v>
      </c>
      <c r="B6" s="7" t="s">
        <v>825</v>
      </c>
      <c r="C6" s="7" t="s">
        <v>826</v>
      </c>
      <c r="D6" s="7" t="s">
        <v>827</v>
      </c>
      <c r="E6" s="7" t="s">
        <v>828</v>
      </c>
    </row>
    <row r="7" spans="1:5" ht="54.75" customHeight="1">
      <c r="A7" s="65">
        <v>1</v>
      </c>
      <c r="B7" s="9" t="s">
        <v>829</v>
      </c>
      <c r="C7" s="75" t="s">
        <v>830</v>
      </c>
      <c r="D7" s="76" t="s">
        <v>831</v>
      </c>
      <c r="E7" s="77" t="s">
        <v>53</v>
      </c>
    </row>
    <row r="8" spans="1:5" ht="54.75" customHeight="1">
      <c r="A8" s="65">
        <v>2</v>
      </c>
      <c r="B8" s="74" t="s">
        <v>11</v>
      </c>
      <c r="C8" s="75" t="s">
        <v>13</v>
      </c>
      <c r="D8" s="10" t="s">
        <v>832</v>
      </c>
      <c r="E8" s="77" t="s">
        <v>53</v>
      </c>
    </row>
    <row r="9" spans="1:5" ht="54.75" customHeight="1">
      <c r="A9" s="65">
        <v>3</v>
      </c>
      <c r="B9" s="9" t="s">
        <v>14</v>
      </c>
      <c r="C9" s="75" t="s">
        <v>833</v>
      </c>
      <c r="D9" s="76" t="s">
        <v>834</v>
      </c>
      <c r="E9" s="77" t="s">
        <v>53</v>
      </c>
    </row>
    <row r="10" spans="1:5" ht="54.75" customHeight="1">
      <c r="A10" s="65">
        <v>4</v>
      </c>
      <c r="B10" s="74" t="s">
        <v>835</v>
      </c>
      <c r="C10" s="75" t="s">
        <v>836</v>
      </c>
      <c r="D10" s="10" t="s">
        <v>837</v>
      </c>
      <c r="E10" s="77" t="s">
        <v>53</v>
      </c>
    </row>
    <row r="11" spans="1:5" ht="54.75" customHeight="1">
      <c r="A11" s="65">
        <v>5</v>
      </c>
      <c r="B11" s="9" t="s">
        <v>838</v>
      </c>
      <c r="C11" s="75" t="s">
        <v>839</v>
      </c>
      <c r="D11" s="76" t="s">
        <v>840</v>
      </c>
      <c r="E11" s="77" t="s">
        <v>53</v>
      </c>
    </row>
    <row r="12" spans="1:5" ht="54.75" customHeight="1">
      <c r="A12" s="65">
        <v>6</v>
      </c>
      <c r="B12" s="74" t="s">
        <v>841</v>
      </c>
      <c r="C12" s="75" t="s">
        <v>833</v>
      </c>
      <c r="D12" s="10" t="s">
        <v>842</v>
      </c>
      <c r="E12" s="77" t="s">
        <v>53</v>
      </c>
    </row>
    <row r="13" spans="1:5" ht="54.75" customHeight="1">
      <c r="A13" s="65">
        <v>7</v>
      </c>
      <c r="B13" s="9" t="s">
        <v>843</v>
      </c>
      <c r="C13" s="75" t="s">
        <v>833</v>
      </c>
      <c r="D13" s="76" t="s">
        <v>844</v>
      </c>
      <c r="E13" s="77" t="s">
        <v>53</v>
      </c>
    </row>
    <row r="14" spans="1:5" ht="54.75" customHeight="1">
      <c r="A14" s="65">
        <v>8</v>
      </c>
      <c r="B14" s="74" t="s">
        <v>845</v>
      </c>
      <c r="C14" s="75" t="s">
        <v>846</v>
      </c>
      <c r="D14" s="10" t="s">
        <v>847</v>
      </c>
      <c r="E14" s="77" t="s">
        <v>53</v>
      </c>
    </row>
    <row r="15" spans="1:5" ht="54.75" customHeight="1">
      <c r="A15" s="65">
        <v>9</v>
      </c>
      <c r="B15" s="9" t="s">
        <v>848</v>
      </c>
      <c r="C15" s="75" t="s">
        <v>849</v>
      </c>
      <c r="D15" s="76" t="s">
        <v>850</v>
      </c>
      <c r="E15" s="77" t="s">
        <v>53</v>
      </c>
    </row>
    <row r="16" spans="1:5" ht="54.75" customHeight="1">
      <c r="A16" s="65">
        <v>10</v>
      </c>
      <c r="B16" s="74" t="s">
        <v>851</v>
      </c>
      <c r="C16" s="75" t="s">
        <v>852</v>
      </c>
      <c r="D16" s="10" t="s">
        <v>853</v>
      </c>
      <c r="E16" s="77" t="s">
        <v>53</v>
      </c>
    </row>
    <row r="17" spans="1:5" ht="54.75" customHeight="1">
      <c r="A17" s="65">
        <v>11</v>
      </c>
      <c r="B17" s="9" t="s">
        <v>854</v>
      </c>
      <c r="C17" s="75" t="s">
        <v>10</v>
      </c>
      <c r="D17" s="76" t="s">
        <v>855</v>
      </c>
      <c r="E17" s="77" t="s">
        <v>53</v>
      </c>
    </row>
    <row r="18" spans="1:5" ht="54.75" customHeight="1">
      <c r="A18" s="65">
        <v>12</v>
      </c>
      <c r="B18" s="74" t="s">
        <v>23</v>
      </c>
      <c r="C18" s="75" t="s">
        <v>856</v>
      </c>
      <c r="D18" s="10" t="s">
        <v>857</v>
      </c>
      <c r="E18" s="77" t="s">
        <v>53</v>
      </c>
    </row>
    <row r="19" spans="1:5" ht="54.75" customHeight="1">
      <c r="A19" s="65">
        <v>13</v>
      </c>
      <c r="B19" s="9" t="s">
        <v>330</v>
      </c>
      <c r="C19" s="75" t="s">
        <v>19</v>
      </c>
      <c r="D19" s="76" t="s">
        <v>855</v>
      </c>
      <c r="E19" s="77" t="s">
        <v>53</v>
      </c>
    </row>
    <row r="20" spans="1:5" ht="54.75" customHeight="1">
      <c r="A20" s="65">
        <v>14</v>
      </c>
      <c r="B20" s="74" t="s">
        <v>858</v>
      </c>
      <c r="C20" s="75" t="s">
        <v>859</v>
      </c>
      <c r="D20" s="10" t="s">
        <v>860</v>
      </c>
      <c r="E20" s="77" t="s">
        <v>53</v>
      </c>
    </row>
    <row r="21" spans="1:5" ht="54.75" customHeight="1">
      <c r="A21" s="65">
        <v>15</v>
      </c>
      <c r="B21" s="9" t="s">
        <v>861</v>
      </c>
      <c r="C21" s="75" t="s">
        <v>685</v>
      </c>
      <c r="D21" s="76" t="s">
        <v>862</v>
      </c>
      <c r="E21" s="78" t="s">
        <v>863</v>
      </c>
    </row>
    <row r="22" spans="1:5" ht="54.75" customHeight="1">
      <c r="A22" s="65">
        <v>16</v>
      </c>
      <c r="B22" s="74" t="s">
        <v>864</v>
      </c>
      <c r="C22" s="75" t="s">
        <v>865</v>
      </c>
      <c r="D22" s="10" t="s">
        <v>866</v>
      </c>
      <c r="E22" s="78" t="s">
        <v>867</v>
      </c>
    </row>
    <row r="23" spans="1:5" ht="54.75" customHeight="1">
      <c r="A23" s="65">
        <v>17</v>
      </c>
      <c r="B23" s="9" t="s">
        <v>868</v>
      </c>
      <c r="C23" s="75" t="s">
        <v>869</v>
      </c>
      <c r="D23" s="76" t="s">
        <v>870</v>
      </c>
      <c r="E23" s="78" t="s">
        <v>871</v>
      </c>
    </row>
    <row r="24" spans="1:5" ht="54.75" customHeight="1">
      <c r="A24" s="65">
        <v>18</v>
      </c>
      <c r="B24" s="74" t="s">
        <v>872</v>
      </c>
      <c r="C24" s="75" t="s">
        <v>873</v>
      </c>
      <c r="D24" s="10" t="s">
        <v>874</v>
      </c>
      <c r="E24" s="78" t="s">
        <v>875</v>
      </c>
    </row>
    <row r="25" spans="1:5" ht="54.75" customHeight="1">
      <c r="A25" s="65">
        <v>19</v>
      </c>
      <c r="B25" s="9" t="s">
        <v>876</v>
      </c>
      <c r="C25" s="75" t="s">
        <v>877</v>
      </c>
      <c r="D25" s="76" t="s">
        <v>878</v>
      </c>
      <c r="E25" s="78" t="s">
        <v>879</v>
      </c>
    </row>
    <row r="26" spans="1:5" ht="54.75" customHeight="1">
      <c r="A26" s="65">
        <v>20</v>
      </c>
      <c r="B26" s="74" t="s">
        <v>880</v>
      </c>
      <c r="C26" s="75" t="s">
        <v>881</v>
      </c>
      <c r="D26" s="10" t="s">
        <v>882</v>
      </c>
      <c r="E26" s="78" t="s">
        <v>883</v>
      </c>
    </row>
    <row r="27" spans="1:5" ht="54.75" customHeight="1">
      <c r="A27" s="65">
        <v>21</v>
      </c>
      <c r="B27" s="9" t="s">
        <v>884</v>
      </c>
      <c r="C27" s="75" t="s">
        <v>885</v>
      </c>
      <c r="D27" s="76" t="s">
        <v>886</v>
      </c>
      <c r="E27" s="78" t="s">
        <v>887</v>
      </c>
    </row>
    <row r="28" spans="1:5" ht="54.75" customHeight="1">
      <c r="A28" s="65">
        <v>22</v>
      </c>
      <c r="B28" s="74" t="s">
        <v>888</v>
      </c>
      <c r="C28" s="75" t="s">
        <v>889</v>
      </c>
      <c r="D28" s="10" t="s">
        <v>890</v>
      </c>
      <c r="E28" s="78" t="s">
        <v>891</v>
      </c>
    </row>
    <row r="29" spans="1:5" ht="54.75" customHeight="1">
      <c r="A29" s="65">
        <v>23</v>
      </c>
      <c r="B29" s="9" t="s">
        <v>892</v>
      </c>
      <c r="C29" s="75" t="s">
        <v>893</v>
      </c>
      <c r="D29" s="76" t="s">
        <v>894</v>
      </c>
      <c r="E29" s="79" t="s">
        <v>895</v>
      </c>
    </row>
    <row r="30" spans="1:5" ht="54.75" customHeight="1">
      <c r="A30" s="65">
        <v>24</v>
      </c>
      <c r="B30" s="74" t="s">
        <v>896</v>
      </c>
      <c r="C30" s="75" t="s">
        <v>897</v>
      </c>
      <c r="D30" s="10" t="s">
        <v>898</v>
      </c>
      <c r="E30" s="79" t="s">
        <v>899</v>
      </c>
    </row>
    <row r="31" spans="1:5" ht="54.75" customHeight="1">
      <c r="A31" s="65">
        <v>25</v>
      </c>
      <c r="B31" s="9" t="s">
        <v>900</v>
      </c>
      <c r="C31" s="75" t="s">
        <v>901</v>
      </c>
      <c r="D31" s="76" t="s">
        <v>902</v>
      </c>
      <c r="E31" s="79" t="s">
        <v>903</v>
      </c>
    </row>
    <row r="32" spans="1:5" ht="54.75" customHeight="1">
      <c r="A32" s="65">
        <v>26</v>
      </c>
      <c r="B32" s="74" t="s">
        <v>904</v>
      </c>
      <c r="C32" s="75" t="s">
        <v>905</v>
      </c>
      <c r="D32" s="10" t="s">
        <v>906</v>
      </c>
      <c r="E32" s="78" t="s">
        <v>907</v>
      </c>
    </row>
    <row r="33" spans="1:5" ht="54.75" customHeight="1">
      <c r="A33" s="65">
        <v>27</v>
      </c>
      <c r="B33" s="9" t="s">
        <v>908</v>
      </c>
      <c r="C33" s="75" t="s">
        <v>909</v>
      </c>
      <c r="D33" s="76" t="s">
        <v>910</v>
      </c>
      <c r="E33" s="79" t="s">
        <v>911</v>
      </c>
    </row>
    <row r="34" spans="1:5" ht="54.75" customHeight="1">
      <c r="A34" s="65">
        <v>28</v>
      </c>
      <c r="B34" s="74" t="s">
        <v>912</v>
      </c>
      <c r="C34" s="75" t="s">
        <v>913</v>
      </c>
      <c r="D34" s="10" t="s">
        <v>914</v>
      </c>
      <c r="E34" s="77" t="s">
        <v>53</v>
      </c>
    </row>
    <row r="35" spans="1:5" ht="54.75" customHeight="1">
      <c r="A35" s="65">
        <v>29</v>
      </c>
      <c r="B35" s="9" t="s">
        <v>915</v>
      </c>
      <c r="C35" s="75" t="s">
        <v>916</v>
      </c>
      <c r="D35" s="76" t="s">
        <v>917</v>
      </c>
      <c r="E35" s="77" t="s">
        <v>53</v>
      </c>
    </row>
    <row r="36" spans="1:5" ht="54.75" customHeight="1">
      <c r="A36" s="65">
        <v>30</v>
      </c>
      <c r="B36" s="74" t="s">
        <v>918</v>
      </c>
      <c r="C36" s="75" t="s">
        <v>919</v>
      </c>
      <c r="D36" s="10" t="s">
        <v>920</v>
      </c>
      <c r="E36" s="77" t="s">
        <v>53</v>
      </c>
    </row>
    <row r="37" spans="1:5" ht="54.75" customHeight="1">
      <c r="A37" s="65">
        <v>31</v>
      </c>
      <c r="B37" s="9" t="s">
        <v>921</v>
      </c>
      <c r="C37" s="75" t="s">
        <v>922</v>
      </c>
      <c r="D37" s="76" t="s">
        <v>923</v>
      </c>
      <c r="E37" s="77" t="s">
        <v>53</v>
      </c>
    </row>
    <row r="38" spans="1:5" ht="54.75" customHeight="1">
      <c r="A38" s="65">
        <v>32</v>
      </c>
      <c r="B38" s="74" t="s">
        <v>924</v>
      </c>
      <c r="C38" s="75" t="s">
        <v>925</v>
      </c>
      <c r="D38" s="10" t="s">
        <v>926</v>
      </c>
      <c r="E38" s="77" t="s">
        <v>53</v>
      </c>
    </row>
    <row r="39" spans="1:5" ht="54.75" customHeight="1">
      <c r="A39" s="65">
        <v>33</v>
      </c>
      <c r="B39" s="9" t="s">
        <v>927</v>
      </c>
      <c r="C39" s="75" t="s">
        <v>817</v>
      </c>
      <c r="D39" s="76" t="s">
        <v>928</v>
      </c>
      <c r="E39" s="77" t="s">
        <v>53</v>
      </c>
    </row>
    <row r="40" spans="1:5" ht="54.75" customHeight="1">
      <c r="A40" s="65">
        <v>34</v>
      </c>
      <c r="B40" s="74" t="s">
        <v>929</v>
      </c>
      <c r="C40" s="75" t="s">
        <v>930</v>
      </c>
      <c r="D40" s="10" t="s">
        <v>931</v>
      </c>
      <c r="E40" s="77" t="s">
        <v>53</v>
      </c>
    </row>
    <row r="41" spans="1:5" ht="54.75" customHeight="1">
      <c r="A41" s="65">
        <v>35</v>
      </c>
      <c r="B41" s="9" t="s">
        <v>932</v>
      </c>
      <c r="C41" s="75" t="s">
        <v>933</v>
      </c>
      <c r="D41" s="76" t="s">
        <v>934</v>
      </c>
      <c r="E41" s="77" t="s">
        <v>53</v>
      </c>
    </row>
    <row r="42" spans="1:5" ht="54.75" customHeight="1">
      <c r="A42" s="65">
        <v>36</v>
      </c>
      <c r="B42" s="74" t="s">
        <v>935</v>
      </c>
      <c r="C42" s="75" t="s">
        <v>936</v>
      </c>
      <c r="D42" s="10" t="s">
        <v>937</v>
      </c>
      <c r="E42" s="77" t="s">
        <v>53</v>
      </c>
    </row>
    <row r="43" spans="1:5" ht="54.75" customHeight="1">
      <c r="A43" s="65">
        <v>37</v>
      </c>
      <c r="B43" s="9" t="s">
        <v>938</v>
      </c>
      <c r="C43" s="75" t="s">
        <v>939</v>
      </c>
      <c r="D43" s="76" t="s">
        <v>940</v>
      </c>
      <c r="E43" s="77" t="s">
        <v>53</v>
      </c>
    </row>
    <row r="45" spans="1:5" ht="49.5" customHeight="1">
      <c r="A45" s="84" t="s">
        <v>941</v>
      </c>
      <c r="B45" s="84"/>
      <c r="C45" s="84"/>
      <c r="D45" s="84"/>
      <c r="E45" s="84"/>
    </row>
  </sheetData>
  <mergeCells count="5">
    <mergeCell ref="A1:E1"/>
    <mergeCell ref="A2:E2"/>
    <mergeCell ref="A3:E3"/>
    <mergeCell ref="A4:E4"/>
    <mergeCell ref="A45:E4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1-خيارات المتداول</vt:lpstr>
      <vt:lpstr>2-التحليل الأساسي</vt:lpstr>
      <vt:lpstr>3-الأدوات الرئيسية</vt:lpstr>
      <vt:lpstr>4-المدارس الفنية</vt:lpstr>
      <vt:lpstr>5-المؤشرات الفنية</vt:lpstr>
      <vt:lpstr>6-تدفق الأوامر والبوك ماب</vt:lpstr>
      <vt:lpstr>7-القرارات النهائية</vt:lpstr>
      <vt:lpstr>8-خطة التداول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0</cp:revision>
  <dcterms:created xsi:type="dcterms:W3CDTF">2026-05-10T22:57:09Z</dcterms:created>
  <dcterms:modified xsi:type="dcterms:W3CDTF">2026-05-11T03:31:57Z</dcterms:modified>
  <dc:language>en-US</dc:language>
</cp:coreProperties>
</file>